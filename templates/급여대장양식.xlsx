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payroll\급여프로그램\templates\"/>
    </mc:Choice>
  </mc:AlternateContent>
  <xr:revisionPtr revIDLastSave="0" documentId="13_ncr:1_{35644AC9-B432-408F-97C9-750E8990D518}" xr6:coauthVersionLast="41" xr6:coauthVersionMax="41" xr10:uidLastSave="{00000000-0000-0000-0000-000000000000}"/>
  <bookViews>
    <workbookView xWindow="-108" yWindow="-108" windowWidth="23256" windowHeight="12456" xr2:uid="{9141162B-B53A-43BC-95CC-3D7F4F929A8C}"/>
  </bookViews>
  <sheets>
    <sheet name="26.05" sheetId="1" r:id="rId1"/>
    <sheet name="교통비,식대(26.5)" sheetId="2" r:id="rId2"/>
  </sheets>
  <externalReferences>
    <externalReference r:id="rId3"/>
  </externalReferences>
  <definedNames>
    <definedName name="_xlnm._FilterDatabase" localSheetId="0" hidden="1">'26.05'!$A$3:$W$92</definedName>
    <definedName name="_xlnm.Criteria" localSheetId="0">'26.05'!#REF!</definedName>
    <definedName name="_xlnm.Print_Area" localSheetId="0">'26.05'!$A$1:$W$92</definedName>
    <definedName name="_xlnm.Print_Area" localSheetId="1">'교통비,식대(26.5)'!$A$1:$I$31</definedName>
    <definedName name="_xlnm.Print_Area">#REF!</definedName>
    <definedName name="PRINT_AREA_MI" localSheetId="0">#REF!</definedName>
    <definedName name="PRINT_AREA_MI">#REF!</definedName>
    <definedName name="_xlnm.Print_Titles" localSheetId="0">'26.05'!$1:$4</definedName>
    <definedName name="print_titltes" localSheetId="0">#REF!</definedName>
    <definedName name="print_titltes" localSheetId="1">#REF!</definedName>
    <definedName name="print_titltes">#REF!</definedName>
    <definedName name="SUM">#REF!</definedName>
    <definedName name="개수" localSheetId="0">#REF!</definedName>
    <definedName name="개수" localSheetId="1">#REF!</definedName>
    <definedName name="개수">#REF!</definedName>
    <definedName name="공급가액" localSheetId="0">#REF!</definedName>
    <definedName name="공급가액" localSheetId="1">#REF!</definedName>
    <definedName name="공급가액">#REF!</definedName>
    <definedName name="규격" localSheetId="0">#REF!</definedName>
    <definedName name="규격" localSheetId="1">#REF!</definedName>
    <definedName name="규격">#REF!</definedName>
    <definedName name="근무시간" localSheetId="0">TIME(IF(WEEKDAY(#REF!)=7,4,8),0,0)</definedName>
    <definedName name="근무시간">TIME(IF(WEEKDAY(#REF!)=7,4,8),0,0)</definedName>
    <definedName name="날짜범위" localSheetId="0">OFFSET(#REF!,0,0,1,'26.05'!일수)</definedName>
    <definedName name="날짜범위">OFFSET(#REF!,0,0,1,일수)</definedName>
    <definedName name="단가" localSheetId="0">#REF!</definedName>
    <definedName name="단가" localSheetId="1">#REF!</definedName>
    <definedName name="단가">#REF!</definedName>
    <definedName name="대표자" localSheetId="0">#REF!</definedName>
    <definedName name="대표자" localSheetId="1">#REF!</definedName>
    <definedName name="대표자">#REF!</definedName>
    <definedName name="미화" localSheetId="0">OFFSET(#REF!,0,0,1,'26.05'!일수)</definedName>
    <definedName name="미화">OFFSET(#REF!,0,0,1,일수)</definedName>
    <definedName name="사업자등록번호" localSheetId="0">#REF!</definedName>
    <definedName name="사업자등록번호" localSheetId="1">#REF!</definedName>
    <definedName name="사업자등록번호">#REF!</definedName>
    <definedName name="상호" localSheetId="0">#REF!</definedName>
    <definedName name="상호" localSheetId="1">#REF!</definedName>
    <definedName name="상호">#REF!</definedName>
    <definedName name="세액" localSheetId="0">#REF!</definedName>
    <definedName name="세액" localSheetId="1">#REF!</definedName>
    <definedName name="세액">#REF!</definedName>
    <definedName name="수량" localSheetId="0">#REF!</definedName>
    <definedName name="수량" localSheetId="1">#REF!</definedName>
    <definedName name="수량">#REF!</definedName>
    <definedName name="시작범위" localSheetId="0">OFFSET(#REF!,0,0,1,'26.05'!일수)</definedName>
    <definedName name="시작범위">OFFSET(#REF!,0,0,1,일수)</definedName>
    <definedName name="업태" localSheetId="0">#REF!</definedName>
    <definedName name="업태" localSheetId="1">#REF!</definedName>
    <definedName name="업태">#REF!</definedName>
    <definedName name="용도" localSheetId="0">#REF!</definedName>
    <definedName name="용도" localSheetId="1">#REF!</definedName>
    <definedName name="용도">#REF!</definedName>
    <definedName name="월미화" localSheetId="0">OFFSET(#REF!,0,0,1,'26.05'!일수)</definedName>
    <definedName name="월미화">OFFSET(#REF!,0,0,1,일수)</definedName>
    <definedName name="월생산" localSheetId="0">OFFSET(#REF!,0,0,1,'26.05'!일수)</definedName>
    <definedName name="월생산">OFFSET(#REF!,0,0,1,일수)</definedName>
    <definedName name="이름" localSheetId="0">#REF!</definedName>
    <definedName name="이름" localSheetId="1">#REF!</definedName>
    <definedName name="이름">#REF!</definedName>
    <definedName name="일수" localSheetId="0">DAY(DATE(#REF!,#REF!+1,0))</definedName>
    <definedName name="일수">DAY(DATE(#REF!,#REF!+1,0))</definedName>
    <definedName name="일자" localSheetId="0">#REF!</definedName>
    <definedName name="일자" localSheetId="1">#REF!</definedName>
    <definedName name="일자">#REF!</definedName>
    <definedName name="작성일자" localSheetId="0">#REF!</definedName>
    <definedName name="작성일자" localSheetId="1">#REF!</definedName>
    <definedName name="작성일자">#REF!</definedName>
    <definedName name="잔업범위" localSheetId="0">OFFSET(#REF!,0,0,1,'26.05'!일수)</definedName>
    <definedName name="잔업범위">OFFSET(#REF!,0,0,1,일수)</definedName>
    <definedName name="제품목록" localSheetId="0">OFFSET(#REF!,0,0,'26.05'!개수,3)</definedName>
    <definedName name="제품목록" localSheetId="1">OFFSET(#REF!,0,0,'교통비,식대(26.5)'!개수,3)</definedName>
    <definedName name="제품목록">OFFSET(#REF!,0,0,개수,3)</definedName>
    <definedName name="제품이름" localSheetId="0">OFFSET(#REF!,0,0,'26.05'!개수,1)</definedName>
    <definedName name="제품이름" localSheetId="1">OFFSET(#REF!,0,0,'교통비,식대(26.5)'!개수,1)</definedName>
    <definedName name="제품이름">OFFSET(#REF!,0,0,개수,1)</definedName>
    <definedName name="종목" localSheetId="0">#REF!</definedName>
    <definedName name="종목" localSheetId="1">#REF!</definedName>
    <definedName name="종목">#REF!</definedName>
    <definedName name="주소" localSheetId="0">#REF!</definedName>
    <definedName name="주소" localSheetId="1">#REF!</definedName>
    <definedName name="주소">#REF!</definedName>
    <definedName name="품목" localSheetId="0">#REF!</definedName>
    <definedName name="품목" localSheetId="1">#REF!</definedName>
    <definedName name="품목">#REF!</definedName>
    <definedName name="합계1" localSheetId="0">#REF!</definedName>
    <definedName name="합계1" localSheetId="1">#REF!</definedName>
    <definedName name="합계1">#REF!</definedName>
    <definedName name="합계2" localSheetId="0">#REF!</definedName>
    <definedName name="합계2" localSheetId="1">#REF!</definedName>
    <definedName name="합계2">#REF!</definedName>
    <definedName name="휴게시간" localSheetId="0">TIME(IF(#REF!&lt;=TIME(12,0,0),1,0)+IF(#REF!&gt;=TIME(19,0,0),1,0),0,0)</definedName>
    <definedName name="휴게시간">TIME(IF(#REF!&lt;=TIME(12,0,0),1,0)+IF(#REF!&gt;=TIME(19,0,0),1,0),0,0)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2" i="1" l="1"/>
  <c r="U92" i="1"/>
  <c r="T92" i="1"/>
  <c r="R92" i="1"/>
  <c r="Q92" i="1"/>
  <c r="P92" i="1"/>
  <c r="O92" i="1"/>
  <c r="I92" i="1"/>
  <c r="H92" i="1"/>
  <c r="F92" i="1"/>
  <c r="U91" i="1"/>
  <c r="T91" i="1"/>
  <c r="S91" i="1"/>
  <c r="R91" i="1"/>
  <c r="Q91" i="1"/>
  <c r="O91" i="1"/>
  <c r="N91" i="1"/>
  <c r="M91" i="1"/>
  <c r="L91" i="1"/>
  <c r="K91" i="1"/>
  <c r="J91" i="1"/>
  <c r="I91" i="1"/>
  <c r="H91" i="1"/>
  <c r="F91" i="1"/>
  <c r="G92" i="1"/>
  <c r="G91" i="1"/>
  <c r="I5" i="1" l="1"/>
  <c r="I65" i="2" l="1"/>
  <c r="R64" i="2"/>
  <c r="Q64" i="2"/>
  <c r="P64" i="2"/>
  <c r="O64" i="2"/>
  <c r="N64" i="2"/>
  <c r="M64" i="2"/>
  <c r="L64" i="2"/>
  <c r="K64" i="2"/>
  <c r="J64" i="2"/>
  <c r="I64" i="2"/>
  <c r="E31" i="2"/>
  <c r="D31" i="2"/>
  <c r="C31" i="2"/>
  <c r="G30" i="2"/>
  <c r="F30" i="2"/>
  <c r="H30" i="2" s="1"/>
  <c r="A30" i="2"/>
  <c r="G29" i="2"/>
  <c r="F29" i="2"/>
  <c r="H29" i="2" s="1"/>
  <c r="A29" i="2"/>
  <c r="G28" i="2"/>
  <c r="F28" i="2"/>
  <c r="H28" i="2" s="1"/>
  <c r="A28" i="2"/>
  <c r="G27" i="2"/>
  <c r="F27" i="2"/>
  <c r="H27" i="2" s="1"/>
  <c r="A27" i="2"/>
  <c r="G26" i="2"/>
  <c r="F26" i="2"/>
  <c r="H26" i="2" s="1"/>
  <c r="A26" i="2"/>
  <c r="G25" i="2"/>
  <c r="F25" i="2"/>
  <c r="H25" i="2" s="1"/>
  <c r="A25" i="2"/>
  <c r="G24" i="2"/>
  <c r="F24" i="2"/>
  <c r="H24" i="2" s="1"/>
  <c r="A24" i="2"/>
  <c r="G23" i="2"/>
  <c r="F23" i="2"/>
  <c r="H23" i="2" s="1"/>
  <c r="A23" i="2"/>
  <c r="G22" i="2"/>
  <c r="F22" i="2"/>
  <c r="H22" i="2" s="1"/>
  <c r="A22" i="2"/>
  <c r="G21" i="2"/>
  <c r="F21" i="2"/>
  <c r="H21" i="2" s="1"/>
  <c r="A21" i="2"/>
  <c r="G20" i="2"/>
  <c r="F20" i="2"/>
  <c r="H20" i="2" s="1"/>
  <c r="A20" i="2"/>
  <c r="G19" i="2"/>
  <c r="F19" i="2"/>
  <c r="H19" i="2" s="1"/>
  <c r="A19" i="2"/>
  <c r="H18" i="2"/>
  <c r="G18" i="2"/>
  <c r="F18" i="2"/>
  <c r="A18" i="2"/>
  <c r="G17" i="2"/>
  <c r="F17" i="2"/>
  <c r="H17" i="2" s="1"/>
  <c r="A17" i="2"/>
  <c r="G16" i="2"/>
  <c r="F16" i="2"/>
  <c r="H16" i="2" s="1"/>
  <c r="A16" i="2"/>
  <c r="G15" i="2"/>
  <c r="H15" i="2" s="1"/>
  <c r="A15" i="2"/>
  <c r="G14" i="2"/>
  <c r="F14" i="2"/>
  <c r="H14" i="2" s="1"/>
  <c r="A14" i="2"/>
  <c r="H13" i="2"/>
  <c r="G13" i="2"/>
  <c r="F13" i="2"/>
  <c r="A13" i="2"/>
  <c r="J12" i="2"/>
  <c r="G12" i="2"/>
  <c r="H12" i="2" s="1"/>
  <c r="A12" i="2"/>
  <c r="G11" i="2"/>
  <c r="F11" i="2"/>
  <c r="H11" i="2" s="1"/>
  <c r="A11" i="2"/>
  <c r="H10" i="2"/>
  <c r="G10" i="2"/>
  <c r="A10" i="2"/>
  <c r="G9" i="2"/>
  <c r="F9" i="2"/>
  <c r="H9" i="2" s="1"/>
  <c r="A9" i="2"/>
  <c r="H8" i="2"/>
  <c r="G8" i="2"/>
  <c r="F8" i="2"/>
  <c r="A8" i="2"/>
  <c r="H7" i="2"/>
  <c r="G7" i="2"/>
  <c r="F7" i="2"/>
  <c r="A7" i="2"/>
  <c r="G6" i="2"/>
  <c r="H6" i="2" s="1"/>
  <c r="A6" i="2"/>
  <c r="G5" i="2"/>
  <c r="H5" i="2" s="1"/>
  <c r="F5" i="2"/>
  <c r="A5" i="2"/>
  <c r="G4" i="2"/>
  <c r="A4" i="2"/>
  <c r="T58" i="1"/>
  <c r="O58" i="1"/>
  <c r="I58" i="1"/>
  <c r="G58" i="1"/>
  <c r="Q57" i="1"/>
  <c r="I57" i="1"/>
  <c r="T56" i="1"/>
  <c r="O56" i="1"/>
  <c r="I56" i="1"/>
  <c r="G56" i="1"/>
  <c r="K56" i="1" s="1"/>
  <c r="F56" i="1"/>
  <c r="I55" i="1"/>
  <c r="T54" i="1"/>
  <c r="O54" i="1"/>
  <c r="I54" i="1"/>
  <c r="G54" i="1"/>
  <c r="F54" i="1"/>
  <c r="Q53" i="1"/>
  <c r="I53" i="1"/>
  <c r="T52" i="1"/>
  <c r="O52" i="1"/>
  <c r="I52" i="1"/>
  <c r="G52" i="1"/>
  <c r="P51" i="1" s="1"/>
  <c r="F52" i="1"/>
  <c r="U51" i="1"/>
  <c r="I51" i="1"/>
  <c r="T50" i="1"/>
  <c r="O50" i="1"/>
  <c r="I50" i="1"/>
  <c r="G50" i="1"/>
  <c r="K50" i="1" s="1"/>
  <c r="U49" i="1"/>
  <c r="I49" i="1"/>
  <c r="T48" i="1"/>
  <c r="O48" i="1"/>
  <c r="I48" i="1"/>
  <c r="G48" i="1"/>
  <c r="L48" i="1" s="1"/>
  <c r="U47" i="1"/>
  <c r="I47" i="1"/>
  <c r="T46" i="1"/>
  <c r="O46" i="1"/>
  <c r="I46" i="1"/>
  <c r="G46" i="1"/>
  <c r="K46" i="1" s="1"/>
  <c r="U45" i="1"/>
  <c r="I45" i="1"/>
  <c r="T44" i="1"/>
  <c r="O44" i="1"/>
  <c r="I44" i="1"/>
  <c r="G44" i="1"/>
  <c r="J44" i="1" s="1"/>
  <c r="U43" i="1"/>
  <c r="I43" i="1"/>
  <c r="T42" i="1"/>
  <c r="O42" i="1"/>
  <c r="I42" i="1"/>
  <c r="G42" i="1"/>
  <c r="N42" i="1" s="1"/>
  <c r="U41" i="1"/>
  <c r="I41" i="1"/>
  <c r="T40" i="1"/>
  <c r="P40" i="1"/>
  <c r="O40" i="1"/>
  <c r="I40" i="1"/>
  <c r="G40" i="1"/>
  <c r="L40" i="1" s="1"/>
  <c r="U39" i="1"/>
  <c r="I39" i="1"/>
  <c r="T38" i="1"/>
  <c r="O38" i="1"/>
  <c r="I38" i="1"/>
  <c r="G38" i="1"/>
  <c r="M38" i="1" s="1"/>
  <c r="U37" i="1"/>
  <c r="I37" i="1"/>
  <c r="T36" i="1"/>
  <c r="O36" i="1"/>
  <c r="I36" i="1"/>
  <c r="G36" i="1"/>
  <c r="U35" i="1"/>
  <c r="I35" i="1"/>
  <c r="T34" i="1"/>
  <c r="O34" i="1"/>
  <c r="I34" i="1"/>
  <c r="G34" i="1"/>
  <c r="J34" i="1" s="1"/>
  <c r="U33" i="1"/>
  <c r="P33" i="1"/>
  <c r="I33" i="1"/>
  <c r="T32" i="1"/>
  <c r="O32" i="1"/>
  <c r="I32" i="1"/>
  <c r="G32" i="1"/>
  <c r="U31" i="1"/>
  <c r="P31" i="1"/>
  <c r="I31" i="1"/>
  <c r="F31" i="1"/>
  <c r="F33" i="1" s="1"/>
  <c r="T30" i="1"/>
  <c r="P30" i="1"/>
  <c r="O30" i="1"/>
  <c r="I30" i="1"/>
  <c r="G30" i="1"/>
  <c r="K30" i="1" s="1"/>
  <c r="U29" i="1"/>
  <c r="P29" i="1"/>
  <c r="I29" i="1"/>
  <c r="F29" i="1"/>
  <c r="F30" i="1" s="1"/>
  <c r="T28" i="1"/>
  <c r="O28" i="1"/>
  <c r="I28" i="1"/>
  <c r="G28" i="1"/>
  <c r="J28" i="1" s="1"/>
  <c r="U27" i="1"/>
  <c r="I27" i="1"/>
  <c r="F27" i="1"/>
  <c r="F28" i="1" s="1"/>
  <c r="T26" i="1"/>
  <c r="O26" i="1"/>
  <c r="I26" i="1"/>
  <c r="G26" i="1"/>
  <c r="L26" i="1" s="1"/>
  <c r="U25" i="1"/>
  <c r="Q25" i="1"/>
  <c r="I25" i="1"/>
  <c r="F25" i="1"/>
  <c r="F26" i="1" s="1"/>
  <c r="T24" i="1"/>
  <c r="P24" i="1"/>
  <c r="O24" i="1"/>
  <c r="I24" i="1"/>
  <c r="G24" i="1"/>
  <c r="U23" i="1"/>
  <c r="I23" i="1"/>
  <c r="F23" i="1"/>
  <c r="F24" i="1" s="1"/>
  <c r="T22" i="1"/>
  <c r="O22" i="1"/>
  <c r="I22" i="1"/>
  <c r="G22" i="1"/>
  <c r="K22" i="1" s="1"/>
  <c r="U21" i="1"/>
  <c r="I21" i="1"/>
  <c r="F21" i="1"/>
  <c r="F22" i="1" s="1"/>
  <c r="T20" i="1"/>
  <c r="P20" i="1"/>
  <c r="O20" i="1"/>
  <c r="I20" i="1"/>
  <c r="G20" i="1"/>
  <c r="P19" i="1" s="1"/>
  <c r="U19" i="1"/>
  <c r="I19" i="1"/>
  <c r="F19" i="1"/>
  <c r="F20" i="1" s="1"/>
  <c r="T18" i="1"/>
  <c r="P18" i="1"/>
  <c r="O18" i="1"/>
  <c r="I18" i="1"/>
  <c r="G18" i="1"/>
  <c r="N18" i="1" s="1"/>
  <c r="U17" i="1"/>
  <c r="P17" i="1"/>
  <c r="I17" i="1"/>
  <c r="F17" i="1"/>
  <c r="F18" i="1" s="1"/>
  <c r="T16" i="1"/>
  <c r="O16" i="1"/>
  <c r="G16" i="1"/>
  <c r="P15" i="1" s="1"/>
  <c r="U15" i="1"/>
  <c r="I15" i="1"/>
  <c r="T14" i="1"/>
  <c r="P14" i="1"/>
  <c r="O14" i="1"/>
  <c r="I14" i="1"/>
  <c r="G14" i="1"/>
  <c r="U13" i="1"/>
  <c r="P13" i="1"/>
  <c r="I13" i="1"/>
  <c r="F13" i="1"/>
  <c r="F15" i="1" s="1"/>
  <c r="F16" i="1" s="1"/>
  <c r="T12" i="1"/>
  <c r="O12" i="1"/>
  <c r="I12" i="1"/>
  <c r="G12" i="1"/>
  <c r="P11" i="1" s="1"/>
  <c r="U11" i="1"/>
  <c r="I11" i="1"/>
  <c r="F11" i="1"/>
  <c r="F12" i="1" s="1"/>
  <c r="T10" i="1"/>
  <c r="P10" i="1"/>
  <c r="O10" i="1"/>
  <c r="I10" i="1"/>
  <c r="G10" i="1"/>
  <c r="U9" i="1"/>
  <c r="I9" i="1"/>
  <c r="F9" i="1"/>
  <c r="F10" i="1" s="1"/>
  <c r="T8" i="1"/>
  <c r="P8" i="1"/>
  <c r="O8" i="1"/>
  <c r="I8" i="1"/>
  <c r="G8" i="1"/>
  <c r="P7" i="1" s="1"/>
  <c r="U7" i="1"/>
  <c r="I7" i="1"/>
  <c r="F7" i="1"/>
  <c r="F8" i="1" s="1"/>
  <c r="T6" i="1"/>
  <c r="P6" i="1"/>
  <c r="O6" i="1"/>
  <c r="I6" i="1"/>
  <c r="G6" i="1"/>
  <c r="F6" i="1"/>
  <c r="U5" i="1"/>
  <c r="L34" i="1" l="1"/>
  <c r="K8" i="1"/>
  <c r="S8" i="1" s="1"/>
  <c r="V7" i="1" s="1"/>
  <c r="W7" i="1" s="1"/>
  <c r="W8" i="1" s="1"/>
  <c r="M8" i="1"/>
  <c r="M34" i="1"/>
  <c r="J8" i="1"/>
  <c r="L8" i="1"/>
  <c r="N8" i="1"/>
  <c r="N34" i="1"/>
  <c r="L56" i="1"/>
  <c r="N46" i="1"/>
  <c r="P21" i="1"/>
  <c r="P55" i="1"/>
  <c r="N26" i="1"/>
  <c r="K52" i="1"/>
  <c r="J20" i="1"/>
  <c r="L38" i="1"/>
  <c r="L20" i="1"/>
  <c r="L22" i="1"/>
  <c r="N38" i="1"/>
  <c r="M20" i="1"/>
  <c r="M22" i="1"/>
  <c r="J56" i="1"/>
  <c r="J38" i="1"/>
  <c r="N20" i="1"/>
  <c r="M26" i="1"/>
  <c r="K38" i="1"/>
  <c r="N22" i="1"/>
  <c r="P25" i="1"/>
  <c r="N56" i="1"/>
  <c r="M56" i="1"/>
  <c r="K34" i="1"/>
  <c r="L50" i="1"/>
  <c r="M52" i="1"/>
  <c r="M50" i="1"/>
  <c r="N52" i="1"/>
  <c r="J42" i="1"/>
  <c r="N50" i="1"/>
  <c r="N16" i="1"/>
  <c r="K42" i="1"/>
  <c r="L30" i="1"/>
  <c r="L42" i="1"/>
  <c r="M42" i="1"/>
  <c r="F14" i="1"/>
  <c r="J30" i="1"/>
  <c r="J26" i="1"/>
  <c r="M30" i="1"/>
  <c r="K26" i="1"/>
  <c r="N30" i="1"/>
  <c r="F32" i="1"/>
  <c r="K20" i="1"/>
  <c r="L46" i="1"/>
  <c r="P49" i="1"/>
  <c r="M46" i="1"/>
  <c r="L52" i="1"/>
  <c r="M54" i="1"/>
  <c r="L54" i="1"/>
  <c r="J54" i="1"/>
  <c r="K54" i="1"/>
  <c r="P53" i="1"/>
  <c r="L12" i="1"/>
  <c r="J12" i="1"/>
  <c r="M12" i="1"/>
  <c r="N12" i="1"/>
  <c r="K12" i="1"/>
  <c r="P57" i="1"/>
  <c r="P91" i="1" s="1"/>
  <c r="N58" i="1"/>
  <c r="N92" i="1" s="1"/>
  <c r="L58" i="1"/>
  <c r="L92" i="1" s="1"/>
  <c r="M58" i="1"/>
  <c r="M92" i="1" s="1"/>
  <c r="J58" i="1"/>
  <c r="J92" i="1" s="1"/>
  <c r="K58" i="1"/>
  <c r="K92" i="1" s="1"/>
  <c r="P27" i="1"/>
  <c r="N28" i="1"/>
  <c r="L28" i="1"/>
  <c r="M28" i="1"/>
  <c r="K28" i="1"/>
  <c r="N36" i="1"/>
  <c r="M36" i="1"/>
  <c r="K36" i="1"/>
  <c r="L36" i="1"/>
  <c r="P35" i="1"/>
  <c r="J36" i="1"/>
  <c r="N54" i="1"/>
  <c r="F35" i="1"/>
  <c r="F34" i="1"/>
  <c r="N10" i="1"/>
  <c r="M10" i="1"/>
  <c r="K10" i="1"/>
  <c r="L10" i="1"/>
  <c r="P9" i="1"/>
  <c r="J10" i="1"/>
  <c r="P43" i="1"/>
  <c r="M44" i="1"/>
  <c r="N44" i="1"/>
  <c r="L44" i="1"/>
  <c r="K44" i="1"/>
  <c r="F31" i="2"/>
  <c r="P5" i="1"/>
  <c r="M6" i="1"/>
  <c r="N6" i="1"/>
  <c r="P23" i="1"/>
  <c r="N24" i="1"/>
  <c r="M14" i="1"/>
  <c r="L14" i="1"/>
  <c r="K14" i="1"/>
  <c r="J14" i="1"/>
  <c r="J6" i="1"/>
  <c r="J16" i="1"/>
  <c r="J24" i="1"/>
  <c r="J40" i="1"/>
  <c r="K48" i="1"/>
  <c r="K6" i="1"/>
  <c r="N14" i="1"/>
  <c r="K16" i="1"/>
  <c r="K24" i="1"/>
  <c r="N32" i="1"/>
  <c r="M32" i="1"/>
  <c r="L32" i="1"/>
  <c r="K32" i="1"/>
  <c r="K40" i="1"/>
  <c r="G31" i="2"/>
  <c r="N48" i="1"/>
  <c r="P47" i="1"/>
  <c r="J48" i="1"/>
  <c r="L6" i="1"/>
  <c r="L16" i="1"/>
  <c r="L24" i="1"/>
  <c r="M48" i="1"/>
  <c r="H4" i="2"/>
  <c r="H31" i="2" s="1"/>
  <c r="M40" i="1"/>
  <c r="N40" i="1"/>
  <c r="M18" i="1"/>
  <c r="L18" i="1"/>
  <c r="J18" i="1"/>
  <c r="K18" i="1"/>
  <c r="M16" i="1"/>
  <c r="M24" i="1"/>
  <c r="J32" i="1"/>
  <c r="J52" i="1"/>
  <c r="J22" i="1"/>
  <c r="J46" i="1"/>
  <c r="J50" i="1"/>
  <c r="S38" i="1" l="1"/>
  <c r="V37" i="1" s="1"/>
  <c r="W37" i="1" s="1"/>
  <c r="W38" i="1" s="1"/>
  <c r="S10" i="1"/>
  <c r="S34" i="1"/>
  <c r="V33" i="1" s="1"/>
  <c r="W33" i="1" s="1"/>
  <c r="W34" i="1" s="1"/>
  <c r="S56" i="1"/>
  <c r="V55" i="1" s="1"/>
  <c r="W55" i="1" s="1"/>
  <c r="W56" i="1" s="1"/>
  <c r="S28" i="1"/>
  <c r="V27" i="1" s="1"/>
  <c r="W27" i="1" s="1"/>
  <c r="W28" i="1" s="1"/>
  <c r="S30" i="1"/>
  <c r="V29" i="1" s="1"/>
  <c r="W29" i="1" s="1"/>
  <c r="W30" i="1" s="1"/>
  <c r="S20" i="1"/>
  <c r="S22" i="1"/>
  <c r="V21" i="1" s="1"/>
  <c r="W21" i="1" s="1"/>
  <c r="S58" i="1"/>
  <c r="S92" i="1" s="1"/>
  <c r="S54" i="1"/>
  <c r="V53" i="1" s="1"/>
  <c r="W53" i="1" s="1"/>
  <c r="W54" i="1" s="1"/>
  <c r="S50" i="1"/>
  <c r="S46" i="1"/>
  <c r="S52" i="1"/>
  <c r="V51" i="1" s="1"/>
  <c r="W51" i="1" s="1"/>
  <c r="W52" i="1" s="1"/>
  <c r="S40" i="1"/>
  <c r="V39" i="1" s="1"/>
  <c r="W39" i="1" s="1"/>
  <c r="S42" i="1"/>
  <c r="V41" i="1" s="1"/>
  <c r="W41" i="1" s="1"/>
  <c r="W42" i="1" s="1"/>
  <c r="S26" i="1"/>
  <c r="V25" i="1" s="1"/>
  <c r="W25" i="1" s="1"/>
  <c r="W26" i="1" s="1"/>
  <c r="S24" i="1"/>
  <c r="V23" i="1" s="1"/>
  <c r="W23" i="1" s="1"/>
  <c r="S44" i="1"/>
  <c r="V43" i="1" s="1"/>
  <c r="W43" i="1" s="1"/>
  <c r="S48" i="1"/>
  <c r="V47" i="1" s="1"/>
  <c r="W47" i="1" s="1"/>
  <c r="S12" i="1"/>
  <c r="V11" i="1" s="1"/>
  <c r="W11" i="1" s="1"/>
  <c r="W12" i="1" s="1"/>
  <c r="V57" i="1"/>
  <c r="V91" i="1" s="1"/>
  <c r="V9" i="1"/>
  <c r="W9" i="1" s="1"/>
  <c r="W10" i="1" s="1"/>
  <c r="S16" i="1"/>
  <c r="S6" i="1"/>
  <c r="S36" i="1"/>
  <c r="V19" i="1"/>
  <c r="W19" i="1" s="1"/>
  <c r="W20" i="1" s="1"/>
  <c r="S18" i="1"/>
  <c r="V45" i="1"/>
  <c r="W45" i="1" s="1"/>
  <c r="W46" i="1" s="1"/>
  <c r="S14" i="1"/>
  <c r="F37" i="1"/>
  <c r="F36" i="1"/>
  <c r="S32" i="1"/>
  <c r="W57" i="1" l="1"/>
  <c r="W91" i="1" s="1"/>
  <c r="W22" i="1"/>
  <c r="V49" i="1"/>
  <c r="W49" i="1" s="1"/>
  <c r="W50" i="1" s="1"/>
  <c r="W44" i="1"/>
  <c r="W40" i="1"/>
  <c r="W24" i="1"/>
  <c r="W48" i="1"/>
  <c r="F39" i="1"/>
  <c r="F38" i="1"/>
  <c r="V5" i="1"/>
  <c r="V17" i="1"/>
  <c r="W17" i="1" s="1"/>
  <c r="W18" i="1" s="1"/>
  <c r="V13" i="1"/>
  <c r="W13" i="1" s="1"/>
  <c r="W14" i="1" s="1"/>
  <c r="V31" i="1"/>
  <c r="W31" i="1" s="1"/>
  <c r="W32" i="1"/>
  <c r="V35" i="1"/>
  <c r="V15" i="1"/>
  <c r="W15" i="1" s="1"/>
  <c r="W16" i="1" s="1"/>
  <c r="W58" i="1" l="1"/>
  <c r="W92" i="1" s="1"/>
  <c r="W35" i="1"/>
  <c r="W5" i="1"/>
  <c r="F40" i="1"/>
  <c r="F41" i="1"/>
  <c r="W6" i="1" l="1"/>
  <c r="F43" i="1"/>
  <c r="F42" i="1"/>
  <c r="W36" i="1"/>
  <c r="F45" i="1" l="1"/>
  <c r="F44" i="1"/>
  <c r="F49" i="1" l="1"/>
  <c r="F46" i="1"/>
  <c r="F47" i="1"/>
  <c r="F48" i="1" s="1"/>
  <c r="F57" i="1" l="1"/>
  <c r="F50" i="1"/>
  <c r="F5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</author>
    <author>MY</author>
  </authors>
  <commentList>
    <comment ref="F4" authorId="0" shapeId="0" xr:uid="{7A0241D6-C6D9-42B3-A190-7C1522297162}">
      <text>
        <r>
          <rPr>
            <b/>
            <sz val="9"/>
            <color indexed="81"/>
            <rFont val="돋움"/>
            <family val="3"/>
            <charset val="129"/>
          </rPr>
          <t>결근시 기본일수에서 공제</t>
        </r>
      </text>
    </comment>
    <comment ref="P5" authorId="1" shapeId="0" xr:uid="{45B47EE2-EAB0-43CF-A82B-31689599804D}">
      <text>
        <r>
          <rPr>
            <b/>
            <sz val="9"/>
            <color indexed="81"/>
            <rFont val="돋움"/>
            <family val="3"/>
            <charset val="129"/>
          </rPr>
          <t>발생기간</t>
        </r>
        <r>
          <rPr>
            <b/>
            <sz val="9"/>
            <color indexed="81"/>
            <rFont val="Tahoma"/>
            <family val="2"/>
          </rPr>
          <t xml:space="preserve"> : 24.01.01 -25.01.01
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: 25.01.01 - 25.12.31
</t>
        </r>
        <r>
          <rPr>
            <b/>
            <sz val="9"/>
            <color indexed="81"/>
            <rFont val="돋움"/>
            <family val="3"/>
            <charset val="129"/>
          </rPr>
          <t>발생개수</t>
        </r>
        <r>
          <rPr>
            <b/>
            <sz val="9"/>
            <color indexed="81"/>
            <rFont val="Tahoma"/>
            <family val="2"/>
          </rPr>
          <t xml:space="preserve"> : 19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사용개수</t>
        </r>
        <r>
          <rPr>
            <b/>
            <sz val="9"/>
            <color indexed="81"/>
            <rFont val="Tahoma"/>
            <family val="2"/>
          </rPr>
          <t xml:space="preserve"> : 13</t>
        </r>
        <r>
          <rPr>
            <b/>
            <sz val="9"/>
            <color indexed="81"/>
            <rFont val="돋움"/>
            <family val="3"/>
            <charset val="129"/>
          </rPr>
          <t>개
정산개수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G7" authorId="1" shapeId="0" xr:uid="{2CD2858A-C4B1-47BD-8162-AF278EB2D65D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다름</t>
        </r>
      </text>
    </comment>
    <comment ref="P7" authorId="1" shapeId="0" xr:uid="{ABBCF54A-C42E-4421-886E-FE3309458709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24.01.01 - 25.01.01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25.01.01 - 25.12.31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 16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3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U8" authorId="1" shapeId="0" xr:uid="{67DC60C1-9398-4015-8FC6-CB4D9966ADD9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나이도래</t>
        </r>
      </text>
    </comment>
    <comment ref="P9" authorId="1" shapeId="0" xr:uid="{9BF1B9A5-11ED-4A26-B25A-DD12A3CF4832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24.01.01 - 25.01.01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25.01.01 - 25.12.31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:14.5</t>
        </r>
        <r>
          <rPr>
            <b/>
            <sz val="10"/>
            <color indexed="81"/>
            <rFont val="돋움"/>
            <family val="3"/>
            <charset val="129"/>
          </rPr>
          <t>개
정산</t>
        </r>
        <r>
          <rPr>
            <b/>
            <sz val="10"/>
            <color indexed="81"/>
            <rFont val="Tahoma"/>
            <family val="2"/>
          </rPr>
          <t xml:space="preserve"> : 4.5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P11" authorId="1" shapeId="0" xr:uid="{C4BDD338-3DF3-4F7A-8479-34A5FA60F224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24.01.13 - 25.01.13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25.01.13 - 26.01.12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:19.5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-0.5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(</t>
        </r>
        <r>
          <rPr>
            <b/>
            <sz val="10"/>
            <color indexed="81"/>
            <rFont val="돋움"/>
            <family val="3"/>
            <charset val="129"/>
          </rPr>
          <t>이월</t>
        </r>
        <r>
          <rPr>
            <b/>
            <sz val="10"/>
            <color indexed="81"/>
            <rFont val="Tahoma"/>
            <family val="2"/>
          </rPr>
          <t>)</t>
        </r>
      </text>
    </comment>
    <comment ref="P13" authorId="1" shapeId="0" xr:uid="{B3E497A6-C4AA-4AA1-AB6B-E20C93D98844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24.01.01 - 25.01.01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25.01.01 - 25.12.31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0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P15" authorId="1" shapeId="0" xr:uid="{93898A31-5679-4672-AF19-169AD65948E4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24.01.01 - 25.01.01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25.01.01 - 25.12.31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 10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9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P16" authorId="1" shapeId="0" xr:uid="{D16C27B8-469F-48C6-BFD2-6CD2BD2C8943}">
      <text>
        <r>
          <rPr>
            <b/>
            <sz val="9"/>
            <color indexed="81"/>
            <rFont val="돋움"/>
            <family val="3"/>
            <charset val="129"/>
          </rPr>
          <t>청구서에는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안줌</t>
        </r>
      </text>
    </comment>
    <comment ref="P17" authorId="1" shapeId="0" xr:uid="{59C5CD3D-01BE-41AE-8DDA-46442E2E50DB}">
      <text>
        <r>
          <rPr>
            <b/>
            <sz val="9"/>
            <color indexed="81"/>
            <rFont val="돋움"/>
            <family val="3"/>
            <charset val="129"/>
          </rPr>
          <t>발생기간</t>
        </r>
        <r>
          <rPr>
            <b/>
            <sz val="9"/>
            <color indexed="81"/>
            <rFont val="Tahoma"/>
            <family val="2"/>
          </rPr>
          <t xml:space="preserve"> : 23.08.26 - 24.08.26
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: 24.08.26 - 25.08.25
</t>
        </r>
        <r>
          <rPr>
            <b/>
            <sz val="9"/>
            <color indexed="81"/>
            <rFont val="돋움"/>
            <family val="3"/>
            <charset val="129"/>
          </rPr>
          <t>발생개수</t>
        </r>
        <r>
          <rPr>
            <b/>
            <sz val="9"/>
            <color indexed="81"/>
            <rFont val="Tahoma"/>
            <family val="2"/>
          </rPr>
          <t xml:space="preserve"> : 19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사용개수</t>
        </r>
        <r>
          <rPr>
            <b/>
            <sz val="9"/>
            <color indexed="81"/>
            <rFont val="Tahoma"/>
            <family val="2"/>
          </rPr>
          <t xml:space="preserve"> : 14.5</t>
        </r>
        <r>
          <rPr>
            <b/>
            <sz val="9"/>
            <color indexed="81"/>
            <rFont val="돋움"/>
            <family val="3"/>
            <charset val="129"/>
          </rPr>
          <t>개
정산개수</t>
        </r>
        <r>
          <rPr>
            <b/>
            <sz val="9"/>
            <color indexed="81"/>
            <rFont val="Tahoma"/>
            <family val="2"/>
          </rPr>
          <t xml:space="preserve"> : 4.5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P19" authorId="1" shapeId="0" xr:uid="{132F25AC-0CE0-4F7A-8E8B-3E23B96F23BD}">
      <text>
        <r>
          <rPr>
            <b/>
            <sz val="9"/>
            <color indexed="81"/>
            <rFont val="돋움"/>
            <family val="3"/>
            <charset val="129"/>
          </rPr>
          <t>발생기간 : 23.07.18 - 24.07.18
사용기간 : 24.07.18 - 25.07.17
발생개수 :18개 / 사용개수 : 18개
정산개수 : 0개</t>
        </r>
      </text>
    </comment>
    <comment ref="P21" authorId="1" shapeId="0" xr:uid="{909E83DA-0111-4C8E-9EC1-8A176C727947}">
      <text>
        <r>
          <rPr>
            <b/>
            <sz val="9"/>
            <color indexed="81"/>
            <rFont val="돋움"/>
            <family val="3"/>
            <charset val="129"/>
          </rPr>
          <t>발생기간 : 23.06.21 - 24.06.21
사용기간 : 24.06.21 - 25.06.20
발생개수 : 18개 / 사용개수 : 16.5개
정산개수 : 1.5개</t>
        </r>
      </text>
    </comment>
    <comment ref="P22" authorId="1" shapeId="0" xr:uid="{BFB153F7-7D88-485E-BB2C-44DE766CDF98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25.08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P23" authorId="1" shapeId="0" xr:uid="{C0AB4614-1040-4321-B62F-0318B13F58E4}">
      <text>
        <r>
          <rPr>
            <b/>
            <sz val="9"/>
            <color indexed="81"/>
            <rFont val="돋움"/>
            <family val="3"/>
            <charset val="129"/>
          </rPr>
          <t>발생기간</t>
        </r>
        <r>
          <rPr>
            <b/>
            <sz val="9"/>
            <color indexed="81"/>
            <rFont val="Tahoma"/>
            <family val="2"/>
          </rPr>
          <t xml:space="preserve"> : 23.10.24 - 24.10.24
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: 24.10.24 - 25.10.23
</t>
        </r>
        <r>
          <rPr>
            <b/>
            <sz val="9"/>
            <color indexed="81"/>
            <rFont val="돋움"/>
            <family val="3"/>
            <charset val="129"/>
          </rPr>
          <t>발생개수</t>
        </r>
        <r>
          <rPr>
            <b/>
            <sz val="9"/>
            <color indexed="81"/>
            <rFont val="Tahoma"/>
            <family val="2"/>
          </rPr>
          <t xml:space="preserve"> : 18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사용개수</t>
        </r>
        <r>
          <rPr>
            <b/>
            <sz val="9"/>
            <color indexed="81"/>
            <rFont val="Tahoma"/>
            <family val="2"/>
          </rPr>
          <t xml:space="preserve"> : 18</t>
        </r>
        <r>
          <rPr>
            <b/>
            <sz val="9"/>
            <color indexed="81"/>
            <rFont val="돋움"/>
            <family val="3"/>
            <charset val="129"/>
          </rPr>
          <t>개
정산개수</t>
        </r>
        <r>
          <rPr>
            <b/>
            <sz val="9"/>
            <color indexed="81"/>
            <rFont val="Tahoma"/>
            <family val="2"/>
          </rPr>
          <t xml:space="preserve"> : 0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P25" authorId="1" shapeId="0" xr:uid="{6AB99B36-3DF5-4D98-9A50-BDA413B85C50}">
      <text>
        <r>
          <rPr>
            <b/>
            <sz val="9"/>
            <color indexed="81"/>
            <rFont val="돋움"/>
            <family val="3"/>
            <charset val="129"/>
          </rPr>
          <t>발생기간 : 23.07.04 - 24.07.04
사용기간 : 24.07.04 - 25.07.03
발생개수 : 18개 / 사용개수 : 9.5개
정산개수 : 8.5개</t>
        </r>
      </text>
    </comment>
    <comment ref="P27" authorId="1" shapeId="0" xr:uid="{C7E18E1F-3818-4689-9BF7-30B18B2A4FD9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24.01.13 - 25.01.13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25.01.13 - 26.01.12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:14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5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P28" authorId="1" shapeId="0" xr:uid="{516D27DC-EA72-473D-9F3B-7D5CBD72BC84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
25.08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미지급</t>
        </r>
      </text>
    </comment>
    <comment ref="G29" authorId="1" shapeId="0" xr:uid="{500843CB-9013-424E-B85B-978068FEB9A0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다름</t>
        </r>
      </text>
    </comment>
    <comment ref="P29" authorId="1" shapeId="0" xr:uid="{88EBC32F-0B09-4EAA-840E-754C04EBBDB4}">
      <text>
        <r>
          <rPr>
            <b/>
            <sz val="10"/>
            <color indexed="81"/>
            <rFont val="돋움"/>
            <family val="3"/>
            <charset val="129"/>
          </rPr>
          <t>발생기간</t>
        </r>
        <r>
          <rPr>
            <b/>
            <sz val="10"/>
            <color indexed="81"/>
            <rFont val="Tahoma"/>
            <family val="2"/>
          </rPr>
          <t xml:space="preserve"> : 24.01.01 - 25.01.01
</t>
        </r>
        <r>
          <rPr>
            <b/>
            <sz val="10"/>
            <color indexed="81"/>
            <rFont val="돋움"/>
            <family val="3"/>
            <charset val="129"/>
          </rPr>
          <t>사용기간</t>
        </r>
        <r>
          <rPr>
            <b/>
            <sz val="10"/>
            <color indexed="81"/>
            <rFont val="Tahoma"/>
            <family val="2"/>
          </rPr>
          <t xml:space="preserve"> : 25.01.01 - 25.12.31
</t>
        </r>
        <r>
          <rPr>
            <b/>
            <sz val="10"/>
            <color indexed="81"/>
            <rFont val="돋움"/>
            <family val="3"/>
            <charset val="129"/>
          </rPr>
          <t>발생개수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 / </t>
        </r>
        <r>
          <rPr>
            <b/>
            <sz val="10"/>
            <color indexed="81"/>
            <rFont val="돋움"/>
            <family val="3"/>
            <charset val="129"/>
          </rPr>
          <t>사용개수</t>
        </r>
        <r>
          <rPr>
            <b/>
            <sz val="10"/>
            <color indexed="81"/>
            <rFont val="Tahoma"/>
            <family val="2"/>
          </rPr>
          <t xml:space="preserve"> : 19</t>
        </r>
        <r>
          <rPr>
            <b/>
            <sz val="10"/>
            <color indexed="81"/>
            <rFont val="돋움"/>
            <family val="3"/>
            <charset val="129"/>
          </rPr>
          <t>개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정산개수</t>
        </r>
        <r>
          <rPr>
            <b/>
            <sz val="10"/>
            <color indexed="81"/>
            <rFont val="Tahoma"/>
            <family val="2"/>
          </rPr>
          <t xml:space="preserve"> : 0</t>
        </r>
        <r>
          <rPr>
            <b/>
            <sz val="10"/>
            <color indexed="81"/>
            <rFont val="돋움"/>
            <family val="3"/>
            <charset val="129"/>
          </rPr>
          <t>개</t>
        </r>
      </text>
    </comment>
    <comment ref="P31" authorId="1" shapeId="0" xr:uid="{9505E1A5-2FB0-4AB9-A690-4A0A73B7CC49}">
      <text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24.02.20 - 25.02.20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25.02.20 - 26.02.19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18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  /  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 18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33" authorId="1" shapeId="0" xr:uid="{21BC8BE4-12C6-45FF-8B20-02D2DA78F668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24.01.09 - 25.01.09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25.01.09 - 26.01.08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34" authorId="1" shapeId="0" xr:uid="{7D84F8E4-0E30-4FD7-ABC7-BF991C3C198E}">
      <text>
        <r>
          <rPr>
            <b/>
            <sz val="9"/>
            <color indexed="81"/>
            <rFont val="돋움"/>
            <family val="3"/>
            <charset val="129"/>
          </rPr>
          <t>청구서에는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안줌</t>
        </r>
      </text>
    </comment>
    <comment ref="P35" authorId="1" shapeId="0" xr:uid="{4C55EB00-5E93-492C-86FE-21CA3D415406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24.01.10 - 25.01.10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25.01.10 - 26.01.09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37" authorId="1" shapeId="0" xr:uid="{FF0040A0-C205-4A86-82BE-BEB46CCC5C49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24.01.16 - 25.01.16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25.01.16 - 26.01.15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39" authorId="1" shapeId="0" xr:uid="{4599ED76-025E-4608-92B0-FF454B75619F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24.01.16 - 25.01.16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25.01.16 - 26.01.15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41" authorId="1" shapeId="0" xr:uid="{220B6582-D79D-4229-BB40-2C543E4F7CE7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24.03.01 - 25.03.01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25.03.01 - 26.02.28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42" authorId="1" shapeId="0" xr:uid="{C4626251-A215-4694-BDF0-6F94B5714D6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안줌</t>
        </r>
      </text>
    </comment>
    <comment ref="P43" authorId="1" shapeId="0" xr:uid="{B0EF2172-61BB-459D-A46E-5291FB82CFBA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24.05.02 - 25.05.02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25.05.02 - 26.05.01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H45" authorId="1" shapeId="0" xr:uid="{0E166407-1B07-4145-ACAB-D1C17C9A6C47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4/20 </t>
        </r>
        <r>
          <rPr>
            <sz val="9"/>
            <color indexed="81"/>
            <rFont val="돋움"/>
            <family val="3"/>
            <charset val="129"/>
          </rPr>
          <t>연차부족무급</t>
        </r>
      </text>
    </comment>
    <comment ref="P45" authorId="1" shapeId="0" xr:uid="{7935A54D-5901-4B96-BD9F-9682C372549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24.05.15 - 25.05.15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25.05.15 - 26.05.14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15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:15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H47" authorId="1" shapeId="0" xr:uid="{5AAB5FBE-91E4-4DFA-9689-7B60F62F3BC5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4/21 </t>
        </r>
        <r>
          <rPr>
            <sz val="9"/>
            <color indexed="81"/>
            <rFont val="돋움"/>
            <family val="3"/>
            <charset val="129"/>
          </rPr>
          <t>연차부족무급</t>
        </r>
      </text>
    </comment>
    <comment ref="P47" authorId="1" shapeId="0" xr:uid="{3E06340C-AB55-48E3-AD19-07E026BDE733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23.07.10 - 24.07.10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23.07.10 - 25.07.09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:24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2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49" authorId="1" shapeId="0" xr:uid="{A49351CA-1D04-4F33-B965-853B8524122D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23.08.10 - 24.08.10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23.08.10 - 25.08.09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:26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51" authorId="1" shapeId="0" xr:uid="{96C64134-37B6-4759-8FDC-20E83423767F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정산해당없음</t>
        </r>
      </text>
    </comment>
    <comment ref="H53" authorId="1" shapeId="0" xr:uid="{C038CA32-5254-4E5A-8E58-0728EC89407E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4/16 </t>
        </r>
        <r>
          <rPr>
            <sz val="9"/>
            <color indexed="81"/>
            <rFont val="돋움"/>
            <family val="3"/>
            <charset val="129"/>
          </rPr>
          <t>무급</t>
        </r>
      </text>
    </comment>
    <comment ref="P57" authorId="1" shapeId="0" xr:uid="{5F4D272C-1877-4893-BCD4-D4843CA084B8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59" authorId="1" shapeId="0" xr:uid="{5098F413-718C-461B-931C-858F0E2AABB5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61" authorId="1" shapeId="0" xr:uid="{C7837141-8A9C-4869-898D-A78C29CBE2E3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63" authorId="1" shapeId="0" xr:uid="{6BFBF200-D05C-401D-B16B-948AB07D530D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65" authorId="1" shapeId="0" xr:uid="{2E7034C9-2CC1-4A21-883D-E86DC6FA0664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67" authorId="1" shapeId="0" xr:uid="{88483585-44B6-4A7B-A251-5BA80A4BEAA3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69" authorId="1" shapeId="0" xr:uid="{20D2A5C0-CD92-406C-AAB6-614248707FAA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71" authorId="1" shapeId="0" xr:uid="{98519C3C-F769-47EC-BC94-B96A8A919AD2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73" authorId="1" shapeId="0" xr:uid="{DBFDDEF4-9D82-40AE-A6F1-A055AAA2FDA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75" authorId="1" shapeId="0" xr:uid="{98F771B5-F8F9-4197-ADF2-FDEBC1438613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77" authorId="1" shapeId="0" xr:uid="{F13BAC8E-75FA-4454-B81A-0317D525C18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79" authorId="1" shapeId="0" xr:uid="{8D25F778-649E-40CA-BC63-6685E0D597E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81" authorId="1" shapeId="0" xr:uid="{EA35FC4A-3789-4819-BB06-E4C8890A1E39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83" authorId="1" shapeId="0" xr:uid="{CC944079-9A68-44BE-9EDC-99D83290E83E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85" authorId="1" shapeId="0" xr:uid="{38B21D2A-E486-46EF-8E07-D1B60BA776FD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87" authorId="1" shapeId="0" xr:uid="{55C1FE75-437B-4B05-B386-55757136A50B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P89" authorId="1" shapeId="0" xr:uid="{EC1E9A31-4339-4A83-B3EE-C35D6DF6481C}">
      <text>
        <r>
          <rPr>
            <b/>
            <sz val="9"/>
            <color indexed="81"/>
            <rFont val="Tahoma"/>
            <family val="2"/>
          </rPr>
          <t>MY: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발생기간</t>
        </r>
        <r>
          <rPr>
            <sz val="9"/>
            <color indexed="81"/>
            <rFont val="Tahoma"/>
            <family val="2"/>
          </rPr>
          <t xml:space="preserve"> : 23.11.20 - 24.11.20
</t>
        </r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 : 23.11.20 - 25.11.19
</t>
        </r>
        <r>
          <rPr>
            <sz val="9"/>
            <color indexed="81"/>
            <rFont val="돋움"/>
            <family val="3"/>
            <charset val="129"/>
          </rPr>
          <t>발생개수</t>
        </r>
        <r>
          <rPr>
            <sz val="9"/>
            <color indexed="81"/>
            <rFont val="Tahoma"/>
            <family val="2"/>
          </rPr>
          <t xml:space="preserve"> : 26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사용개수</t>
        </r>
        <r>
          <rPr>
            <sz val="9"/>
            <color indexed="81"/>
            <rFont val="Tahoma"/>
            <family val="2"/>
          </rPr>
          <t xml:space="preserve"> :23</t>
        </r>
        <r>
          <rPr>
            <sz val="9"/>
            <color indexed="81"/>
            <rFont val="돋움"/>
            <family val="3"/>
            <charset val="129"/>
          </rPr>
          <t>개
정산개수</t>
        </r>
        <r>
          <rPr>
            <sz val="9"/>
            <color indexed="81"/>
            <rFont val="Tahoma"/>
            <family val="2"/>
          </rPr>
          <t xml:space="preserve"> : 3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sharedStrings.xml><?xml version="1.0" encoding="utf-8"?>
<sst xmlns="http://schemas.openxmlformats.org/spreadsheetml/2006/main" count="202" uniqueCount="120">
  <si>
    <t>2026년 05월 급여대장</t>
    <phoneticPr fontId="3" type="noConversion"/>
  </si>
  <si>
    <t xml:space="preserve">산정기간 : 26.04.16 ~ 26.05.15 (30일)
</t>
    <phoneticPr fontId="3" type="noConversion"/>
  </si>
  <si>
    <t>㈜씨앤엘오에스 - 한국앰코스페셜티카톤즈(생산)</t>
    <phoneticPr fontId="3" type="noConversion"/>
  </si>
  <si>
    <t>순</t>
    <phoneticPr fontId="3" type="noConversion"/>
  </si>
  <si>
    <t>성   명</t>
    <phoneticPr fontId="3" type="noConversion"/>
  </si>
  <si>
    <t>생년월일</t>
    <phoneticPr fontId="3" type="noConversion"/>
  </si>
  <si>
    <t>입사일</t>
    <phoneticPr fontId="3" type="noConversion"/>
  </si>
  <si>
    <t>기준일</t>
    <phoneticPr fontId="3" type="noConversion"/>
  </si>
  <si>
    <t>기본시급</t>
    <phoneticPr fontId="9" type="noConversion"/>
  </si>
  <si>
    <t>무급/결근일</t>
    <phoneticPr fontId="3" type="noConversion"/>
  </si>
  <si>
    <t>기 본 급</t>
    <phoneticPr fontId="3" type="noConversion"/>
  </si>
  <si>
    <t>잔업시간</t>
    <phoneticPr fontId="3" type="noConversion"/>
  </si>
  <si>
    <t>교대시간</t>
    <phoneticPr fontId="3" type="noConversion"/>
  </si>
  <si>
    <t>심야시간</t>
    <phoneticPr fontId="9" type="noConversion"/>
  </si>
  <si>
    <t>특근시간</t>
    <phoneticPr fontId="3" type="noConversion"/>
  </si>
  <si>
    <t>특근연장
시간</t>
    <phoneticPr fontId="3" type="noConversion"/>
  </si>
  <si>
    <t>조퇴시간</t>
    <phoneticPr fontId="11" type="noConversion"/>
  </si>
  <si>
    <t>연차수당</t>
    <phoneticPr fontId="11" type="noConversion"/>
  </si>
  <si>
    <t>애로직군수당</t>
    <phoneticPr fontId="3" type="noConversion"/>
  </si>
  <si>
    <t>추가지급</t>
    <phoneticPr fontId="3" type="noConversion"/>
  </si>
  <si>
    <t>전월수정</t>
    <phoneticPr fontId="3" type="noConversion"/>
  </si>
  <si>
    <t>소득세</t>
    <phoneticPr fontId="3" type="noConversion"/>
  </si>
  <si>
    <t>건강보험</t>
    <phoneticPr fontId="3" type="noConversion"/>
  </si>
  <si>
    <t>고용보험</t>
    <phoneticPr fontId="3" type="noConversion"/>
  </si>
  <si>
    <t>공 제 총 액</t>
    <phoneticPr fontId="3" type="noConversion"/>
  </si>
  <si>
    <t>번</t>
    <phoneticPr fontId="3" type="noConversion"/>
  </si>
  <si>
    <t>업   무</t>
    <phoneticPr fontId="3" type="noConversion"/>
  </si>
  <si>
    <t>퇴사일</t>
    <phoneticPr fontId="3" type="noConversion"/>
  </si>
  <si>
    <t>근무일수</t>
    <phoneticPr fontId="3" type="noConversion"/>
  </si>
  <si>
    <t>통상시급</t>
    <phoneticPr fontId="9" type="noConversion"/>
  </si>
  <si>
    <t>연차사용일</t>
    <phoneticPr fontId="3" type="noConversion"/>
  </si>
  <si>
    <t>기본공제</t>
    <phoneticPr fontId="3" type="noConversion"/>
  </si>
  <si>
    <t>잔업수당</t>
    <phoneticPr fontId="3" type="noConversion"/>
  </si>
  <si>
    <t>교대수당</t>
    <phoneticPr fontId="3" type="noConversion"/>
  </si>
  <si>
    <t>심야수당</t>
    <phoneticPr fontId="9" type="noConversion"/>
  </si>
  <si>
    <t>특근수당</t>
    <phoneticPr fontId="3" type="noConversion"/>
  </si>
  <si>
    <t>특근연장
수당</t>
    <phoneticPr fontId="3" type="noConversion"/>
  </si>
  <si>
    <t>조퇴공제</t>
    <phoneticPr fontId="11" type="noConversion"/>
  </si>
  <si>
    <t>직책수당</t>
    <phoneticPr fontId="3" type="noConversion"/>
  </si>
  <si>
    <t>업무추진비</t>
    <phoneticPr fontId="3" type="noConversion"/>
  </si>
  <si>
    <t>복지수당</t>
    <phoneticPr fontId="3" type="noConversion"/>
  </si>
  <si>
    <t>급여총액</t>
    <phoneticPr fontId="3" type="noConversion"/>
  </si>
  <si>
    <t>지방소득세</t>
    <phoneticPr fontId="3" type="noConversion"/>
  </si>
  <si>
    <t>국민연금</t>
    <phoneticPr fontId="3" type="noConversion"/>
  </si>
  <si>
    <t>차인지급액</t>
    <phoneticPr fontId="3" type="noConversion"/>
  </si>
  <si>
    <t>유향순</t>
    <phoneticPr fontId="3" type="noConversion"/>
  </si>
  <si>
    <t>18.06.16</t>
    <phoneticPr fontId="3" type="noConversion"/>
  </si>
  <si>
    <t>소장</t>
    <phoneticPr fontId="3" type="noConversion"/>
  </si>
  <si>
    <t>여</t>
    <phoneticPr fontId="3" type="noConversion"/>
  </si>
  <si>
    <t>박복연</t>
    <phoneticPr fontId="3" type="noConversion"/>
  </si>
  <si>
    <t>조장</t>
    <phoneticPr fontId="3" type="noConversion"/>
  </si>
  <si>
    <t>박영애</t>
    <phoneticPr fontId="3" type="noConversion"/>
  </si>
  <si>
    <t>박인숙</t>
    <phoneticPr fontId="3" type="noConversion"/>
  </si>
  <si>
    <t>C조</t>
    <phoneticPr fontId="3" type="noConversion"/>
  </si>
  <si>
    <t>김미정</t>
    <phoneticPr fontId="3" type="noConversion"/>
  </si>
  <si>
    <t>신현숙</t>
    <phoneticPr fontId="3" type="noConversion"/>
  </si>
  <si>
    <t>A조</t>
    <phoneticPr fontId="3" type="noConversion"/>
  </si>
  <si>
    <t xml:space="preserve">                                      </t>
    <phoneticPr fontId="3" type="noConversion"/>
  </si>
  <si>
    <t>이점희</t>
    <phoneticPr fontId="3" type="noConversion"/>
  </si>
  <si>
    <t>김선영</t>
    <phoneticPr fontId="3" type="noConversion"/>
  </si>
  <si>
    <t>박현미</t>
    <phoneticPr fontId="3" type="noConversion"/>
  </si>
  <si>
    <t>최둘연</t>
    <phoneticPr fontId="3" type="noConversion"/>
  </si>
  <si>
    <t>B조</t>
    <phoneticPr fontId="3" type="noConversion"/>
  </si>
  <si>
    <t>김정태</t>
    <phoneticPr fontId="3" type="noConversion"/>
  </si>
  <si>
    <t>포장</t>
    <phoneticPr fontId="3" type="noConversion"/>
  </si>
  <si>
    <t>남</t>
    <phoneticPr fontId="3" type="noConversion"/>
  </si>
  <si>
    <t>이정옥</t>
    <phoneticPr fontId="3" type="noConversion"/>
  </si>
  <si>
    <t>장비</t>
    <phoneticPr fontId="3" type="noConversion"/>
  </si>
  <si>
    <t>강영선</t>
    <phoneticPr fontId="3" type="noConversion"/>
  </si>
  <si>
    <t>OP</t>
    <phoneticPr fontId="3" type="noConversion"/>
  </si>
  <si>
    <t>최정숙</t>
    <phoneticPr fontId="3" type="noConversion"/>
  </si>
  <si>
    <t>김은희</t>
    <phoneticPr fontId="3" type="noConversion"/>
  </si>
  <si>
    <t>23.01.09</t>
    <phoneticPr fontId="3" type="noConversion"/>
  </si>
  <si>
    <t>주간</t>
    <phoneticPr fontId="3" type="noConversion"/>
  </si>
  <si>
    <t>김수진</t>
    <phoneticPr fontId="3" type="noConversion"/>
  </si>
  <si>
    <t>23.01.10</t>
    <phoneticPr fontId="3" type="noConversion"/>
  </si>
  <si>
    <t>배슬아</t>
    <phoneticPr fontId="3" type="noConversion"/>
  </si>
  <si>
    <t>23.01.16</t>
    <phoneticPr fontId="3" type="noConversion"/>
  </si>
  <si>
    <t>정선심</t>
    <phoneticPr fontId="3" type="noConversion"/>
  </si>
  <si>
    <t>하지은</t>
    <phoneticPr fontId="3" type="noConversion"/>
  </si>
  <si>
    <t>23.03.01</t>
    <phoneticPr fontId="3" type="noConversion"/>
  </si>
  <si>
    <t>D조</t>
    <phoneticPr fontId="3" type="noConversion"/>
  </si>
  <si>
    <t>김리라</t>
    <phoneticPr fontId="3" type="noConversion"/>
  </si>
  <si>
    <t>23.05.02</t>
    <phoneticPr fontId="3" type="noConversion"/>
  </si>
  <si>
    <t>백경희</t>
    <phoneticPr fontId="3" type="noConversion"/>
  </si>
  <si>
    <t>23.05.15</t>
    <phoneticPr fontId="3" type="noConversion"/>
  </si>
  <si>
    <t>박춘복</t>
    <phoneticPr fontId="3" type="noConversion"/>
  </si>
  <si>
    <t>23.07.10</t>
    <phoneticPr fontId="3" type="noConversion"/>
  </si>
  <si>
    <t>김지혜</t>
    <phoneticPr fontId="3" type="noConversion"/>
  </si>
  <si>
    <t>23.08.10</t>
    <phoneticPr fontId="3" type="noConversion"/>
  </si>
  <si>
    <t>김소희</t>
    <phoneticPr fontId="3" type="noConversion"/>
  </si>
  <si>
    <t>26.03.09</t>
    <phoneticPr fontId="3" type="noConversion"/>
  </si>
  <si>
    <t>26.04.22</t>
    <phoneticPr fontId="3" type="noConversion"/>
  </si>
  <si>
    <t>강봉식</t>
    <phoneticPr fontId="3" type="noConversion"/>
  </si>
  <si>
    <t>26.04.16</t>
    <phoneticPr fontId="3" type="noConversion"/>
  </si>
  <si>
    <t>장향연</t>
    <phoneticPr fontId="3" type="noConversion"/>
  </si>
  <si>
    <t>26.05.06</t>
    <phoneticPr fontId="3" type="noConversion"/>
  </si>
  <si>
    <t>박진환</t>
    <phoneticPr fontId="3" type="noConversion"/>
  </si>
  <si>
    <t>26.01.29</t>
    <phoneticPr fontId="3" type="noConversion"/>
  </si>
  <si>
    <t>2026년 05월 한국앰코패키징(생산) 교통비 및 식대 지급내역</t>
    <phoneticPr fontId="3" type="noConversion"/>
  </si>
  <si>
    <t>월 100,000 / 단 결근 미출근일수 (4,000원) 차감, 중도.입퇴사시 일할계산</t>
    <phoneticPr fontId="3" type="noConversion"/>
  </si>
  <si>
    <t>NO.</t>
    <phoneticPr fontId="3" type="noConversion"/>
  </si>
  <si>
    <t>성명</t>
    <phoneticPr fontId="3" type="noConversion"/>
  </si>
  <si>
    <t>근무일</t>
    <phoneticPr fontId="3" type="noConversion"/>
  </si>
  <si>
    <t>야간일</t>
    <phoneticPr fontId="3" type="noConversion"/>
  </si>
  <si>
    <t>교통비</t>
    <phoneticPr fontId="3" type="noConversion"/>
  </si>
  <si>
    <t>야간식대</t>
    <phoneticPr fontId="3" type="noConversion"/>
  </si>
  <si>
    <t>합계</t>
    <phoneticPr fontId="3" type="noConversion"/>
  </si>
  <si>
    <t>비고</t>
    <phoneticPr fontId="3" type="noConversion"/>
  </si>
  <si>
    <t>식대단가</t>
    <phoneticPr fontId="3" type="noConversion"/>
  </si>
  <si>
    <t>야간 8시간 근무일에만 식대 지급함</t>
    <phoneticPr fontId="3" type="noConversion"/>
  </si>
  <si>
    <t>근무일, 야간일수만 입력하면 자동계산됨</t>
    <phoneticPr fontId="3" type="noConversion"/>
  </si>
  <si>
    <t xml:space="preserve">  </t>
    <phoneticPr fontId="3" type="noConversion"/>
  </si>
  <si>
    <t>전월 16 ~ 당월 15일</t>
    <phoneticPr fontId="3" type="noConversion"/>
  </si>
  <si>
    <t>21.01</t>
    <phoneticPr fontId="3" type="noConversion"/>
  </si>
  <si>
    <t>20.12.31 기준</t>
    <phoneticPr fontId="3" type="noConversion"/>
  </si>
  <si>
    <t>31일</t>
    <phoneticPr fontId="3" type="noConversion"/>
  </si>
  <si>
    <t>합 계</t>
    <phoneticPr fontId="3" type="noConversion"/>
  </si>
  <si>
    <t>연차 많이 써서 기본급 공제된 사람들 일수 빼주기</t>
    <phoneticPr fontId="3" type="noConversion"/>
  </si>
  <si>
    <t>합계 (27명)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</si>
</sst>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 "/>
    <numFmt numFmtId="178" formatCode="yy\.mm\.dd"/>
    <numFmt numFmtId="179" formatCode="_-* #,##0.0_-;\-* #,##0.0_-;_-* &quot;-&quot;_-;_-@_-"/>
    <numFmt numFmtId="180" formatCode="_-* #,##0_-;\-* #,##0_-;_-* &quot;-&quot;?_-;_-@_-"/>
    <numFmt numFmtId="181" formatCode="_-* #,##0.00_-;\-* #,##0.00_-;_-* &quot;-&quot;_-;_-@_-"/>
    <numFmt numFmtId="182" formatCode="#,##0.0_ "/>
    <numFmt numFmtId="183" formatCode="_-* #,##0_-;\-* #,##0_-;_-* &quot;-&quot;??_-;_-@_-"/>
    <numFmt numFmtId="184" formatCode="_-* #,##0.0_-;\-* #,##0.0_-;_-* &quot;-&quot;?_-;_-@_-"/>
    <numFmt numFmtId="185" formatCode="0.0_ "/>
  </numFmts>
  <fonts count="3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u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바탕체"/>
      <family val="1"/>
      <charset val="129"/>
    </font>
    <font>
      <b/>
      <sz val="10"/>
      <color rgb="FFFF0000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0"/>
      <color rgb="FF0033CC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3" tint="-0.249977111117893"/>
      <name val="맑은 고딕"/>
      <family val="3"/>
      <charset val="129"/>
      <scheme val="major"/>
    </font>
    <font>
      <b/>
      <sz val="10"/>
      <color rgb="FFFF0000"/>
      <name val="굴림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4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vertical="center" shrinkToFit="1"/>
    </xf>
    <xf numFmtId="41" fontId="6" fillId="0" borderId="0" xfId="1" applyFont="1"/>
    <xf numFmtId="0" fontId="6" fillId="0" borderId="0" xfId="0" applyFont="1"/>
    <xf numFmtId="41" fontId="8" fillId="0" borderId="1" xfId="1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41" fontId="10" fillId="0" borderId="5" xfId="1" applyFont="1" applyBorder="1" applyAlignment="1">
      <alignment horizontal="center" vertical="center" wrapText="1" shrinkToFit="1"/>
    </xf>
    <xf numFmtId="41" fontId="8" fillId="0" borderId="4" xfId="1" applyFont="1" applyBorder="1" applyAlignment="1">
      <alignment horizontal="center" vertical="center" shrinkToFit="1"/>
    </xf>
    <xf numFmtId="41" fontId="8" fillId="0" borderId="4" xfId="1" applyFont="1" applyBorder="1" applyAlignment="1">
      <alignment horizontal="center" vertical="center" wrapText="1" shrinkToFit="1"/>
    </xf>
    <xf numFmtId="176" fontId="8" fillId="0" borderId="5" xfId="0" applyNumberFormat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wrapText="1" shrinkToFit="1"/>
    </xf>
    <xf numFmtId="41" fontId="8" fillId="0" borderId="10" xfId="1" applyFont="1" applyBorder="1" applyAlignment="1">
      <alignment horizontal="center" vertical="center" shrinkToFit="1"/>
    </xf>
    <xf numFmtId="41" fontId="8" fillId="0" borderId="10" xfId="1" applyFont="1" applyBorder="1" applyAlignment="1">
      <alignment horizontal="center" vertical="center" wrapText="1" shrinkToFit="1"/>
    </xf>
    <xf numFmtId="176" fontId="8" fillId="0" borderId="11" xfId="0" applyNumberFormat="1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178" fontId="8" fillId="0" borderId="16" xfId="0" applyNumberFormat="1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41" fontId="8" fillId="0" borderId="17" xfId="1" applyFont="1" applyBorder="1" applyAlignment="1">
      <alignment vertical="center" shrinkToFit="1"/>
    </xf>
    <xf numFmtId="179" fontId="8" fillId="0" borderId="17" xfId="1" applyNumberFormat="1" applyFont="1" applyBorder="1" applyAlignment="1">
      <alignment vertical="center" shrinkToFit="1"/>
    </xf>
    <xf numFmtId="180" fontId="8" fillId="0" borderId="17" xfId="1" applyNumberFormat="1" applyFont="1" applyBorder="1" applyAlignment="1">
      <alignment vertical="center" shrinkToFit="1"/>
    </xf>
    <xf numFmtId="179" fontId="12" fillId="0" borderId="17" xfId="1" applyNumberFormat="1" applyFont="1" applyBorder="1" applyAlignment="1">
      <alignment vertical="center" shrinkToFit="1"/>
    </xf>
    <xf numFmtId="181" fontId="12" fillId="0" borderId="17" xfId="1" applyNumberFormat="1" applyFont="1" applyBorder="1" applyAlignment="1">
      <alignment vertical="center" shrinkToFit="1"/>
    </xf>
    <xf numFmtId="182" fontId="12" fillId="0" borderId="17" xfId="1" applyNumberFormat="1" applyFont="1" applyBorder="1" applyAlignment="1">
      <alignment vertical="center" shrinkToFit="1"/>
    </xf>
    <xf numFmtId="183" fontId="14" fillId="0" borderId="17" xfId="1" applyNumberFormat="1" applyFont="1" applyBorder="1" applyAlignment="1">
      <alignment vertical="center" shrinkToFit="1"/>
    </xf>
    <xf numFmtId="41" fontId="8" fillId="0" borderId="18" xfId="1" applyFont="1" applyBorder="1" applyAlignment="1">
      <alignment vertical="center" shrinkToFit="1"/>
    </xf>
    <xf numFmtId="41" fontId="15" fillId="0" borderId="15" xfId="1" applyFont="1" applyBorder="1" applyAlignment="1">
      <alignment vertical="center" shrinkToFit="1"/>
    </xf>
    <xf numFmtId="41" fontId="8" fillId="2" borderId="19" xfId="1" applyFont="1" applyFill="1" applyBorder="1" applyAlignment="1">
      <alignment vertical="center" shrinkToFit="1"/>
    </xf>
    <xf numFmtId="41" fontId="16" fillId="0" borderId="16" xfId="1" applyFont="1" applyBorder="1" applyAlignment="1">
      <alignment vertical="center" shrinkToFit="1"/>
    </xf>
    <xf numFmtId="41" fontId="8" fillId="0" borderId="19" xfId="1" applyFont="1" applyBorder="1" applyAlignment="1">
      <alignment vertical="center" shrinkToFit="1"/>
    </xf>
    <xf numFmtId="41" fontId="5" fillId="0" borderId="0" xfId="1" applyFont="1"/>
    <xf numFmtId="0" fontId="10" fillId="2" borderId="21" xfId="0" applyFont="1" applyFill="1" applyBorder="1" applyAlignment="1">
      <alignment horizontal="center" vertical="center" shrinkToFit="1"/>
    </xf>
    <xf numFmtId="0" fontId="8" fillId="2" borderId="21" xfId="0" applyFont="1" applyFill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178" fontId="10" fillId="0" borderId="21" xfId="0" applyNumberFormat="1" applyFont="1" applyBorder="1" applyAlignment="1">
      <alignment horizontal="center" vertical="center" shrinkToFit="1"/>
    </xf>
    <xf numFmtId="184" fontId="8" fillId="0" borderId="22" xfId="0" applyNumberFormat="1" applyFont="1" applyBorder="1" applyAlignment="1">
      <alignment horizontal="center" vertical="center" shrinkToFit="1"/>
    </xf>
    <xf numFmtId="41" fontId="8" fillId="0" borderId="22" xfId="1" applyFont="1" applyBorder="1" applyAlignment="1">
      <alignment vertical="center" shrinkToFit="1"/>
    </xf>
    <xf numFmtId="179" fontId="8" fillId="0" borderId="21" xfId="1" applyNumberFormat="1" applyFont="1" applyBorder="1" applyAlignment="1">
      <alignment vertical="center" shrinkToFit="1"/>
    </xf>
    <xf numFmtId="41" fontId="12" fillId="0" borderId="21" xfId="1" applyFont="1" applyBorder="1" applyAlignment="1">
      <alignment vertical="center" shrinkToFit="1"/>
    </xf>
    <xf numFmtId="41" fontId="8" fillId="0" borderId="21" xfId="1" applyFont="1" applyBorder="1" applyAlignment="1">
      <alignment vertical="center" shrinkToFit="1"/>
    </xf>
    <xf numFmtId="176" fontId="8" fillId="0" borderId="22" xfId="1" applyNumberFormat="1" applyFont="1" applyBorder="1" applyAlignment="1">
      <alignment vertical="center" shrinkToFit="1"/>
    </xf>
    <xf numFmtId="41" fontId="2" fillId="0" borderId="23" xfId="1" applyFont="1" applyBorder="1" applyAlignment="1">
      <alignment vertical="center" shrinkToFit="1"/>
    </xf>
    <xf numFmtId="41" fontId="8" fillId="0" borderId="13" xfId="1" applyFont="1" applyBorder="1" applyAlignment="1">
      <alignment vertical="center" shrinkToFit="1"/>
    </xf>
    <xf numFmtId="41" fontId="10" fillId="0" borderId="22" xfId="1" applyFont="1" applyBorder="1" applyAlignment="1">
      <alignment vertical="center" shrinkToFit="1"/>
    </xf>
    <xf numFmtId="41" fontId="6" fillId="0" borderId="0" xfId="0" applyNumberFormat="1" applyFont="1"/>
    <xf numFmtId="0" fontId="2" fillId="2" borderId="21" xfId="0" applyFont="1" applyFill="1" applyBorder="1" applyAlignment="1">
      <alignment horizontal="center" vertical="center" shrinkToFit="1"/>
    </xf>
    <xf numFmtId="41" fontId="2" fillId="0" borderId="24" xfId="1" applyFont="1" applyBorder="1" applyAlignment="1">
      <alignment vertical="center" shrinkToFit="1"/>
    </xf>
    <xf numFmtId="183" fontId="17" fillId="0" borderId="17" xfId="1" applyNumberFormat="1" applyFont="1" applyBorder="1" applyAlignment="1">
      <alignment vertical="center" shrinkToFit="1"/>
    </xf>
    <xf numFmtId="179" fontId="8" fillId="2" borderId="17" xfId="1" applyNumberFormat="1" applyFont="1" applyFill="1" applyBorder="1" applyAlignment="1">
      <alignment vertical="center" shrinkToFit="1"/>
    </xf>
    <xf numFmtId="41" fontId="18" fillId="0" borderId="19" xfId="1" applyFont="1" applyBorder="1" applyAlignment="1">
      <alignment vertical="center" shrinkToFit="1"/>
    </xf>
    <xf numFmtId="41" fontId="14" fillId="0" borderId="17" xfId="1" applyFont="1" applyBorder="1" applyAlignment="1">
      <alignment vertical="center" shrinkToFit="1"/>
    </xf>
    <xf numFmtId="41" fontId="10" fillId="0" borderId="15" xfId="1" applyFont="1" applyBorder="1" applyAlignment="1">
      <alignment vertical="center" shrinkToFit="1"/>
    </xf>
    <xf numFmtId="41" fontId="2" fillId="0" borderId="17" xfId="1" applyFont="1" applyBorder="1" applyAlignment="1">
      <alignment vertical="center" shrinkToFit="1"/>
    </xf>
    <xf numFmtId="41" fontId="8" fillId="0" borderId="25" xfId="1" applyFont="1" applyBorder="1" applyAlignment="1">
      <alignment vertical="center" shrinkToFit="1"/>
    </xf>
    <xf numFmtId="0" fontId="8" fillId="2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78" fontId="10" fillId="0" borderId="22" xfId="0" applyNumberFormat="1" applyFont="1" applyBorder="1" applyAlignment="1">
      <alignment horizontal="center" vertical="center" shrinkToFit="1"/>
    </xf>
    <xf numFmtId="179" fontId="8" fillId="0" borderId="22" xfId="1" applyNumberFormat="1" applyFont="1" applyBorder="1" applyAlignment="1">
      <alignment vertical="center" shrinkToFit="1"/>
    </xf>
    <xf numFmtId="41" fontId="8" fillId="0" borderId="26" xfId="1" applyFont="1" applyBorder="1" applyAlignment="1">
      <alignment vertical="center" shrinkToFit="1"/>
    </xf>
    <xf numFmtId="179" fontId="10" fillId="0" borderId="17" xfId="1" applyNumberFormat="1" applyFont="1" applyBorder="1" applyAlignment="1">
      <alignment vertical="center" shrinkToFit="1"/>
    </xf>
    <xf numFmtId="183" fontId="8" fillId="2" borderId="18" xfId="1" applyNumberFormat="1" applyFont="1" applyFill="1" applyBorder="1" applyAlignment="1">
      <alignment vertical="center" shrinkToFit="1"/>
    </xf>
    <xf numFmtId="41" fontId="10" fillId="0" borderId="19" xfId="1" applyFont="1" applyBorder="1" applyAlignment="1">
      <alignment vertical="center" shrinkToFit="1"/>
    </xf>
    <xf numFmtId="0" fontId="6" fillId="3" borderId="0" xfId="0" applyFont="1" applyFill="1"/>
    <xf numFmtId="41" fontId="10" fillId="0" borderId="21" xfId="1" applyFont="1" applyBorder="1" applyAlignment="1">
      <alignment vertical="center" shrinkToFit="1"/>
    </xf>
    <xf numFmtId="41" fontId="19" fillId="0" borderId="17" xfId="1" applyFont="1" applyBorder="1" applyAlignment="1">
      <alignment vertical="center" shrinkToFit="1"/>
    </xf>
    <xf numFmtId="0" fontId="15" fillId="0" borderId="21" xfId="0" applyFont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178" fontId="8" fillId="2" borderId="16" xfId="0" applyNumberFormat="1" applyFont="1" applyFill="1" applyBorder="1" applyAlignment="1">
      <alignment horizontal="center" vertical="center" shrinkToFit="1"/>
    </xf>
    <xf numFmtId="0" fontId="13" fillId="2" borderId="17" xfId="0" applyFont="1" applyFill="1" applyBorder="1" applyAlignment="1">
      <alignment horizontal="center" vertical="center" shrinkToFit="1"/>
    </xf>
    <xf numFmtId="41" fontId="10" fillId="0" borderId="17" xfId="1" applyFont="1" applyBorder="1" applyAlignment="1">
      <alignment vertical="center" shrinkToFit="1"/>
    </xf>
    <xf numFmtId="41" fontId="8" fillId="2" borderId="18" xfId="1" applyFont="1" applyFill="1" applyBorder="1" applyAlignment="1">
      <alignment vertical="center" shrinkToFit="1"/>
    </xf>
    <xf numFmtId="41" fontId="10" fillId="2" borderId="15" xfId="1" applyFont="1" applyFill="1" applyBorder="1" applyAlignment="1">
      <alignment vertical="center" shrinkToFit="1"/>
    </xf>
    <xf numFmtId="41" fontId="16" fillId="2" borderId="16" xfId="1" applyFont="1" applyFill="1" applyBorder="1" applyAlignment="1">
      <alignment vertical="center" shrinkToFit="1"/>
    </xf>
    <xf numFmtId="41" fontId="8" fillId="2" borderId="17" xfId="1" applyFont="1" applyFill="1" applyBorder="1" applyAlignment="1">
      <alignment vertical="center" shrinkToFit="1"/>
    </xf>
    <xf numFmtId="0" fontId="6" fillId="2" borderId="0" xfId="0" applyFont="1" applyFill="1"/>
    <xf numFmtId="0" fontId="15" fillId="2" borderId="22" xfId="0" applyFont="1" applyFill="1" applyBorder="1" applyAlignment="1">
      <alignment horizontal="center" vertical="center" shrinkToFit="1"/>
    </xf>
    <xf numFmtId="178" fontId="10" fillId="2" borderId="22" xfId="0" applyNumberFormat="1" applyFont="1" applyFill="1" applyBorder="1" applyAlignment="1">
      <alignment horizontal="center" vertical="center" shrinkToFit="1"/>
    </xf>
    <xf numFmtId="184" fontId="8" fillId="2" borderId="22" xfId="0" applyNumberFormat="1" applyFont="1" applyFill="1" applyBorder="1" applyAlignment="1">
      <alignment horizontal="center" vertical="center" shrinkToFit="1"/>
    </xf>
    <xf numFmtId="179" fontId="12" fillId="2" borderId="22" xfId="1" applyNumberFormat="1" applyFont="1" applyFill="1" applyBorder="1" applyAlignment="1">
      <alignment horizontal="center" vertical="center" shrinkToFit="1"/>
    </xf>
    <xf numFmtId="41" fontId="12" fillId="2" borderId="21" xfId="1" applyFont="1" applyFill="1" applyBorder="1" applyAlignment="1">
      <alignment vertical="center" shrinkToFit="1"/>
    </xf>
    <xf numFmtId="41" fontId="8" fillId="2" borderId="22" xfId="1" applyFont="1" applyFill="1" applyBorder="1" applyAlignment="1">
      <alignment vertical="center" shrinkToFit="1"/>
    </xf>
    <xf numFmtId="176" fontId="8" fillId="2" borderId="22" xfId="1" applyNumberFormat="1" applyFont="1" applyFill="1" applyBorder="1" applyAlignment="1">
      <alignment vertical="center" shrinkToFit="1"/>
    </xf>
    <xf numFmtId="41" fontId="8" fillId="2" borderId="21" xfId="1" applyFont="1" applyFill="1" applyBorder="1" applyAlignment="1">
      <alignment vertical="center" shrinkToFit="1"/>
    </xf>
    <xf numFmtId="41" fontId="8" fillId="2" borderId="13" xfId="1" applyFont="1" applyFill="1" applyBorder="1" applyAlignment="1">
      <alignment vertical="center" shrinkToFit="1"/>
    </xf>
    <xf numFmtId="41" fontId="10" fillId="2" borderId="22" xfId="1" applyFont="1" applyFill="1" applyBorder="1" applyAlignment="1">
      <alignment vertical="center" shrinkToFit="1"/>
    </xf>
    <xf numFmtId="41" fontId="2" fillId="2" borderId="23" xfId="1" applyFont="1" applyFill="1" applyBorder="1" applyAlignment="1">
      <alignment vertical="center" shrinkToFit="1"/>
    </xf>
    <xf numFmtId="0" fontId="2" fillId="4" borderId="30" xfId="0" applyFont="1" applyFill="1" applyBorder="1" applyAlignment="1">
      <alignment horizontal="center" vertical="center" shrinkToFit="1"/>
    </xf>
    <xf numFmtId="180" fontId="2" fillId="4" borderId="30" xfId="1" applyNumberFormat="1" applyFont="1" applyFill="1" applyBorder="1" applyAlignment="1">
      <alignment vertical="center" shrinkToFit="1"/>
    </xf>
    <xf numFmtId="184" fontId="2" fillId="4" borderId="4" xfId="1" applyNumberFormat="1" applyFont="1" applyFill="1" applyBorder="1" applyAlignment="1">
      <alignment vertical="center" shrinkToFit="1"/>
    </xf>
    <xf numFmtId="180" fontId="2" fillId="4" borderId="4" xfId="1" applyNumberFormat="1" applyFont="1" applyFill="1" applyBorder="1" applyAlignment="1">
      <alignment vertical="center" shrinkToFit="1"/>
    </xf>
    <xf numFmtId="180" fontId="2" fillId="4" borderId="5" xfId="1" applyNumberFormat="1" applyFont="1" applyFill="1" applyBorder="1" applyAlignment="1">
      <alignment vertical="center" shrinkToFit="1"/>
    </xf>
    <xf numFmtId="180" fontId="2" fillId="4" borderId="6" xfId="1" applyNumberFormat="1" applyFont="1" applyFill="1" applyBorder="1" applyAlignment="1">
      <alignment vertical="center" shrinkToFit="1"/>
    </xf>
    <xf numFmtId="180" fontId="2" fillId="4" borderId="3" xfId="1" applyNumberFormat="1" applyFont="1" applyFill="1" applyBorder="1" applyAlignment="1">
      <alignment vertical="center" shrinkToFit="1"/>
    </xf>
    <xf numFmtId="0" fontId="6" fillId="4" borderId="0" xfId="0" applyFont="1" applyFill="1"/>
    <xf numFmtId="185" fontId="2" fillId="4" borderId="32" xfId="0" applyNumberFormat="1" applyFont="1" applyFill="1" applyBorder="1" applyAlignment="1">
      <alignment horizontal="center" vertical="center" shrinkToFit="1"/>
    </xf>
    <xf numFmtId="180" fontId="2" fillId="4" borderId="32" xfId="1" applyNumberFormat="1" applyFont="1" applyFill="1" applyBorder="1" applyAlignment="1">
      <alignment vertical="center" shrinkToFit="1"/>
    </xf>
    <xf numFmtId="180" fontId="2" fillId="4" borderId="10" xfId="1" applyNumberFormat="1" applyFont="1" applyFill="1" applyBorder="1" applyAlignment="1">
      <alignment vertical="center" shrinkToFit="1"/>
    </xf>
    <xf numFmtId="180" fontId="2" fillId="4" borderId="11" xfId="1" applyNumberFormat="1" applyFont="1" applyFill="1" applyBorder="1" applyAlignment="1">
      <alignment vertical="center" shrinkToFit="1"/>
    </xf>
    <xf numFmtId="180" fontId="2" fillId="4" borderId="12" xfId="1" applyNumberFormat="1" applyFont="1" applyFill="1" applyBorder="1" applyAlignment="1">
      <alignment vertical="center" shrinkToFit="1"/>
    </xf>
    <xf numFmtId="180" fontId="2" fillId="4" borderId="9" xfId="1" applyNumberFormat="1" applyFont="1" applyFill="1" applyBorder="1" applyAlignment="1">
      <alignment vertical="center" shrinkToFit="1"/>
    </xf>
    <xf numFmtId="180" fontId="10" fillId="4" borderId="11" xfId="1" applyNumberFormat="1" applyFont="1" applyFill="1" applyBorder="1" applyAlignment="1">
      <alignment vertical="center" shrinkToFit="1"/>
    </xf>
    <xf numFmtId="0" fontId="2" fillId="0" borderId="21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179" fontId="12" fillId="0" borderId="22" xfId="1" applyNumberFormat="1" applyFont="1" applyBorder="1" applyAlignment="1">
      <alignment horizontal="center" vertical="center" shrinkToFit="1"/>
    </xf>
    <xf numFmtId="41" fontId="10" fillId="2" borderId="17" xfId="1" applyFont="1" applyFill="1" applyBorder="1" applyAlignment="1">
      <alignment vertical="center" shrinkToFit="1"/>
    </xf>
    <xf numFmtId="41" fontId="12" fillId="0" borderId="17" xfId="1" applyFont="1" applyBorder="1" applyAlignment="1">
      <alignment vertical="center" shrinkToFit="1"/>
    </xf>
    <xf numFmtId="183" fontId="8" fillId="0" borderId="18" xfId="1" applyNumberFormat="1" applyFont="1" applyBorder="1" applyAlignment="1">
      <alignment vertical="center" shrinkToFit="1"/>
    </xf>
    <xf numFmtId="0" fontId="6" fillId="5" borderId="0" xfId="0" applyFont="1" applyFill="1"/>
    <xf numFmtId="180" fontId="8" fillId="2" borderId="17" xfId="1" applyNumberFormat="1" applyFont="1" applyFill="1" applyBorder="1" applyAlignment="1">
      <alignment vertical="center" shrinkToFit="1"/>
    </xf>
    <xf numFmtId="183" fontId="12" fillId="2" borderId="17" xfId="1" applyNumberFormat="1" applyFont="1" applyFill="1" applyBorder="1" applyAlignment="1">
      <alignment vertical="center" shrinkToFit="1"/>
    </xf>
    <xf numFmtId="41" fontId="6" fillId="2" borderId="0" xfId="0" applyNumberFormat="1" applyFont="1" applyFill="1"/>
    <xf numFmtId="179" fontId="2" fillId="4" borderId="4" xfId="1" applyNumberFormat="1" applyFont="1" applyFill="1" applyBorder="1" applyAlignment="1">
      <alignment vertical="center" shrinkToFit="1"/>
    </xf>
    <xf numFmtId="180" fontId="10" fillId="4" borderId="4" xfId="1" applyNumberFormat="1" applyFont="1" applyFill="1" applyBorder="1" applyAlignment="1">
      <alignment vertical="center" shrinkToFit="1"/>
    </xf>
    <xf numFmtId="0" fontId="5" fillId="0" borderId="0" xfId="0" applyFont="1"/>
    <xf numFmtId="0" fontId="8" fillId="0" borderId="0" xfId="0" applyFont="1"/>
    <xf numFmtId="176" fontId="6" fillId="0" borderId="0" xfId="0" applyNumberFormat="1" applyFont="1"/>
    <xf numFmtId="0" fontId="27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41" fontId="6" fillId="0" borderId="33" xfId="0" applyNumberFormat="1" applyFont="1" applyBorder="1" applyAlignment="1">
      <alignment horizontal="center" vertical="center"/>
    </xf>
    <xf numFmtId="41" fontId="6" fillId="0" borderId="33" xfId="1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shrinkToFit="1"/>
    </xf>
    <xf numFmtId="0" fontId="6" fillId="2" borderId="33" xfId="0" applyFont="1" applyFill="1" applyBorder="1" applyAlignment="1">
      <alignment horizontal="center" vertical="center" shrinkToFit="1"/>
    </xf>
    <xf numFmtId="41" fontId="6" fillId="0" borderId="33" xfId="0" applyNumberFormat="1" applyFont="1" applyBorder="1" applyAlignment="1">
      <alignment vertical="center" shrinkToFit="1"/>
    </xf>
    <xf numFmtId="41" fontId="6" fillId="2" borderId="33" xfId="1" applyFont="1" applyFill="1" applyBorder="1" applyAlignment="1">
      <alignment horizontal="center" vertical="center"/>
    </xf>
    <xf numFmtId="41" fontId="6" fillId="2" borderId="33" xfId="0" applyNumberFormat="1" applyFont="1" applyFill="1" applyBorder="1" applyAlignment="1">
      <alignment vertical="center" shrinkToFit="1"/>
    </xf>
    <xf numFmtId="41" fontId="6" fillId="0" borderId="0" xfId="0" quotePrefix="1" applyNumberFormat="1" applyFont="1"/>
    <xf numFmtId="0" fontId="20" fillId="0" borderId="33" xfId="0" applyFont="1" applyBorder="1" applyAlignment="1">
      <alignment horizontal="center" vertical="center" shrinkToFit="1"/>
    </xf>
    <xf numFmtId="0" fontId="6" fillId="6" borderId="0" xfId="0" applyFont="1" applyFill="1"/>
    <xf numFmtId="41" fontId="20" fillId="2" borderId="33" xfId="1" applyFont="1" applyFill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6" fillId="0" borderId="28" xfId="0" applyFont="1" applyBorder="1"/>
    <xf numFmtId="0" fontId="20" fillId="2" borderId="33" xfId="0" applyFont="1" applyFill="1" applyBorder="1" applyAlignment="1">
      <alignment horizontal="center" vertical="center" shrinkToFit="1"/>
    </xf>
    <xf numFmtId="41" fontId="2" fillId="6" borderId="33" xfId="1" applyFont="1" applyFill="1" applyBorder="1" applyAlignment="1">
      <alignment horizontal="center" vertical="center"/>
    </xf>
    <xf numFmtId="41" fontId="5" fillId="6" borderId="33" xfId="1" applyFont="1" applyFill="1" applyBorder="1" applyAlignment="1">
      <alignment horizontal="center" vertical="center"/>
    </xf>
    <xf numFmtId="41" fontId="5" fillId="6" borderId="33" xfId="0" applyNumberFormat="1" applyFont="1" applyFill="1" applyBorder="1" applyAlignment="1">
      <alignment horizontal="center" vertical="center"/>
    </xf>
    <xf numFmtId="0" fontId="6" fillId="0" borderId="36" xfId="0" applyFont="1" applyBorder="1"/>
    <xf numFmtId="0" fontId="6" fillId="0" borderId="1" xfId="0" applyFont="1" applyBorder="1"/>
    <xf numFmtId="0" fontId="6" fillId="0" borderId="37" xfId="0" applyFont="1" applyBorder="1"/>
    <xf numFmtId="0" fontId="6" fillId="0" borderId="31" xfId="0" applyFont="1" applyBorder="1"/>
    <xf numFmtId="0" fontId="6" fillId="0" borderId="27" xfId="0" applyFont="1" applyBorder="1"/>
    <xf numFmtId="0" fontId="6" fillId="0" borderId="38" xfId="0" applyFont="1" applyBorder="1"/>
    <xf numFmtId="0" fontId="6" fillId="2" borderId="7" xfId="0" applyFont="1" applyFill="1" applyBorder="1"/>
    <xf numFmtId="0" fontId="6" fillId="2" borderId="38" xfId="0" applyFont="1" applyFill="1" applyBorder="1"/>
    <xf numFmtId="0" fontId="6" fillId="2" borderId="1" xfId="0" applyFont="1" applyFill="1" applyBorder="1"/>
    <xf numFmtId="0" fontId="6" fillId="2" borderId="37" xfId="0" applyFont="1" applyFill="1" applyBorder="1"/>
    <xf numFmtId="0" fontId="8" fillId="2" borderId="16" xfId="0" applyFont="1" applyFill="1" applyBorder="1" applyAlignment="1">
      <alignment horizontal="center" vertical="center" shrinkToFit="1"/>
    </xf>
    <xf numFmtId="0" fontId="8" fillId="0" borderId="16" xfId="0" applyFont="1" applyFill="1" applyBorder="1" applyAlignment="1">
      <alignment horizontal="center" vertical="center" shrinkToFit="1"/>
    </xf>
    <xf numFmtId="178" fontId="8" fillId="0" borderId="16" xfId="0" applyNumberFormat="1" applyFont="1" applyFill="1" applyBorder="1" applyAlignment="1">
      <alignment horizontal="center" vertical="center" shrinkToFit="1"/>
    </xf>
    <xf numFmtId="0" fontId="13" fillId="0" borderId="17" xfId="0" applyFont="1" applyFill="1" applyBorder="1" applyAlignment="1">
      <alignment horizontal="center" vertical="center" shrinkToFit="1"/>
    </xf>
    <xf numFmtId="41" fontId="8" fillId="0" borderId="17" xfId="1" applyFont="1" applyFill="1" applyBorder="1" applyAlignment="1">
      <alignment vertical="center" shrinkToFit="1"/>
    </xf>
    <xf numFmtId="179" fontId="8" fillId="0" borderId="17" xfId="1" applyNumberFormat="1" applyFont="1" applyFill="1" applyBorder="1" applyAlignment="1">
      <alignment vertical="center" shrinkToFit="1"/>
    </xf>
    <xf numFmtId="180" fontId="8" fillId="0" borderId="17" xfId="1" applyNumberFormat="1" applyFont="1" applyFill="1" applyBorder="1" applyAlignment="1">
      <alignment vertical="center" shrinkToFit="1"/>
    </xf>
    <xf numFmtId="179" fontId="12" fillId="0" borderId="17" xfId="1" applyNumberFormat="1" applyFont="1" applyFill="1" applyBorder="1" applyAlignment="1">
      <alignment vertical="center" shrinkToFit="1"/>
    </xf>
    <xf numFmtId="181" fontId="12" fillId="0" borderId="17" xfId="1" applyNumberFormat="1" applyFont="1" applyFill="1" applyBorder="1" applyAlignment="1">
      <alignment vertical="center" shrinkToFit="1"/>
    </xf>
    <xf numFmtId="182" fontId="12" fillId="0" borderId="17" xfId="1" applyNumberFormat="1" applyFont="1" applyFill="1" applyBorder="1" applyAlignment="1">
      <alignment vertical="center" shrinkToFit="1"/>
    </xf>
    <xf numFmtId="41" fontId="10" fillId="0" borderId="17" xfId="1" applyFont="1" applyFill="1" applyBorder="1" applyAlignment="1">
      <alignment vertical="center" shrinkToFit="1"/>
    </xf>
    <xf numFmtId="41" fontId="8" fillId="0" borderId="18" xfId="1" applyFont="1" applyFill="1" applyBorder="1" applyAlignment="1">
      <alignment vertical="center" shrinkToFit="1"/>
    </xf>
    <xf numFmtId="41" fontId="10" fillId="0" borderId="15" xfId="1" applyFont="1" applyFill="1" applyBorder="1" applyAlignment="1">
      <alignment vertical="center" shrinkToFit="1"/>
    </xf>
    <xf numFmtId="41" fontId="8" fillId="0" borderId="19" xfId="1" applyFont="1" applyFill="1" applyBorder="1" applyAlignment="1">
      <alignment vertical="center" shrinkToFit="1"/>
    </xf>
    <xf numFmtId="41" fontId="16" fillId="0" borderId="16" xfId="1" applyFont="1" applyFill="1" applyBorder="1" applyAlignment="1">
      <alignment vertical="center" shrinkToFit="1"/>
    </xf>
    <xf numFmtId="41" fontId="12" fillId="0" borderId="17" xfId="1" applyFont="1" applyFill="1" applyBorder="1" applyAlignment="1">
      <alignment vertical="center" shrinkToFit="1"/>
    </xf>
    <xf numFmtId="0" fontId="2" fillId="0" borderId="21" xfId="0" applyFont="1" applyFill="1" applyBorder="1" applyAlignment="1">
      <alignment horizontal="center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15" fillId="0" borderId="22" xfId="0" applyFont="1" applyFill="1" applyBorder="1" applyAlignment="1">
      <alignment horizontal="center" vertical="center" shrinkToFit="1"/>
    </xf>
    <xf numFmtId="178" fontId="10" fillId="0" borderId="22" xfId="0" applyNumberFormat="1" applyFont="1" applyFill="1" applyBorder="1" applyAlignment="1">
      <alignment horizontal="center" vertical="center" shrinkToFit="1"/>
    </xf>
    <xf numFmtId="184" fontId="8" fillId="0" borderId="22" xfId="0" applyNumberFormat="1" applyFont="1" applyFill="1" applyBorder="1" applyAlignment="1">
      <alignment horizontal="center" vertical="center" shrinkToFit="1"/>
    </xf>
    <xf numFmtId="41" fontId="8" fillId="0" borderId="22" xfId="1" applyFont="1" applyFill="1" applyBorder="1" applyAlignment="1">
      <alignment vertical="center" shrinkToFit="1"/>
    </xf>
    <xf numFmtId="179" fontId="12" fillId="0" borderId="22" xfId="1" applyNumberFormat="1" applyFont="1" applyFill="1" applyBorder="1" applyAlignment="1">
      <alignment horizontal="center" vertical="center" shrinkToFit="1"/>
    </xf>
    <xf numFmtId="41" fontId="12" fillId="0" borderId="21" xfId="1" applyFont="1" applyFill="1" applyBorder="1" applyAlignment="1">
      <alignment vertical="center" shrinkToFit="1"/>
    </xf>
    <xf numFmtId="176" fontId="8" fillId="0" borderId="22" xfId="1" applyNumberFormat="1" applyFont="1" applyFill="1" applyBorder="1" applyAlignment="1">
      <alignment vertical="center" shrinkToFit="1"/>
    </xf>
    <xf numFmtId="41" fontId="2" fillId="0" borderId="23" xfId="1" applyFont="1" applyFill="1" applyBorder="1" applyAlignment="1">
      <alignment vertical="center" shrinkToFit="1"/>
    </xf>
    <xf numFmtId="41" fontId="8" fillId="0" borderId="13" xfId="1" applyFont="1" applyFill="1" applyBorder="1" applyAlignment="1">
      <alignment vertical="center" shrinkToFit="1"/>
    </xf>
    <xf numFmtId="41" fontId="10" fillId="0" borderId="22" xfId="1" applyFont="1" applyFill="1" applyBorder="1" applyAlignment="1">
      <alignment vertical="center" shrinkToFit="1"/>
    </xf>
    <xf numFmtId="183" fontId="8" fillId="0" borderId="18" xfId="1" applyNumberFormat="1" applyFont="1" applyFill="1" applyBorder="1" applyAlignment="1">
      <alignment vertical="center" shrinkToFit="1"/>
    </xf>
    <xf numFmtId="41" fontId="12" fillId="0" borderId="22" xfId="1" applyFont="1" applyFill="1" applyBorder="1" applyAlignment="1">
      <alignment vertical="center" shrinkToFit="1"/>
    </xf>
    <xf numFmtId="0" fontId="8" fillId="2" borderId="14" xfId="0" applyFont="1" applyFill="1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center" vertical="center" shrinkToFit="1"/>
    </xf>
    <xf numFmtId="0" fontId="8" fillId="2" borderId="15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2" fillId="4" borderId="27" xfId="0" applyFont="1" applyFill="1" applyBorder="1" applyAlignment="1">
      <alignment horizontal="center" vertical="center" shrinkToFit="1"/>
    </xf>
    <xf numFmtId="0" fontId="2" fillId="4" borderId="28" xfId="0" applyFont="1" applyFill="1" applyBorder="1" applyAlignment="1">
      <alignment horizontal="center" vertical="center" shrinkToFit="1"/>
    </xf>
    <xf numFmtId="0" fontId="2" fillId="4" borderId="29" xfId="0" applyFont="1" applyFill="1" applyBorder="1" applyAlignment="1">
      <alignment horizontal="center" vertical="center" shrinkToFit="1"/>
    </xf>
    <xf numFmtId="0" fontId="2" fillId="4" borderId="3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4" borderId="9" xfId="0" applyFont="1" applyFill="1" applyBorder="1" applyAlignment="1">
      <alignment horizontal="center" vertical="center" shrinkToFit="1"/>
    </xf>
    <xf numFmtId="0" fontId="8" fillId="0" borderId="14" xfId="0" applyFont="1" applyFill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8" fillId="0" borderId="16" xfId="0" applyFont="1" applyFill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1" applyNumberFormat="1" applyFont="1" applyAlignment="1">
      <alignment horizontal="left" vertical="center" wrapText="1" shrinkToFit="1"/>
    </xf>
    <xf numFmtId="0" fontId="5" fillId="0" borderId="0" xfId="1" applyNumberFormat="1" applyFont="1" applyAlignment="1">
      <alignment horizontal="left" vertical="center" shrinkToFit="1"/>
    </xf>
    <xf numFmtId="0" fontId="5" fillId="0" borderId="1" xfId="1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5" fillId="6" borderId="33" xfId="0" applyFont="1" applyFill="1" applyBorder="1" applyAlignment="1">
      <alignment horizontal="center" vertical="center"/>
    </xf>
    <xf numFmtId="41" fontId="6" fillId="0" borderId="35" xfId="1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/Downloads/2025&#45380;%20&#54620;&#44397;&#50544;&#53076;&#54056;&#53412;&#51669;%20&#44553;&#50668;&#45824;&#511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1"/>
      <sheetName val="25.01 (2)"/>
      <sheetName val="25.1성과금"/>
      <sheetName val="교통비,식대(25.01월)"/>
      <sheetName val="25.1설귀향비"/>
      <sheetName val="25.02"/>
      <sheetName val="교통비,식대(25.02월)"/>
      <sheetName val="25.03"/>
      <sheetName val="교통비,식대(25.03월)"/>
      <sheetName val="25.04"/>
      <sheetName val="교통비,식대(25.04월)"/>
      <sheetName val="25.05"/>
      <sheetName val="교통비,식대(25.05월)"/>
      <sheetName val="25.06"/>
      <sheetName val="25.06(추가)"/>
      <sheetName val="교통비,식대(25.06월)"/>
      <sheetName val="25.6성과금"/>
      <sheetName val="25.07"/>
      <sheetName val="교통비,식대(25.07월)"/>
      <sheetName val="7휴가비"/>
      <sheetName val="25.08"/>
      <sheetName val="교통비,식대(25.08월)"/>
      <sheetName val="25.09"/>
      <sheetName val="교통비,식대(25.09월)"/>
      <sheetName val="9추석귀향비"/>
      <sheetName val="25.10"/>
      <sheetName val="교통비,식대(25.10월)"/>
      <sheetName val="25.11"/>
      <sheetName val="교통비,식대(25.11월)"/>
      <sheetName val="25.12"/>
      <sheetName val="교통비,식대(25.12월)"/>
      <sheetName val="연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1">
          <cell r="I61">
            <v>57638020</v>
          </cell>
          <cell r="P61">
            <v>412864.8803827751</v>
          </cell>
        </row>
        <row r="62">
          <cell r="I62">
            <v>-504480</v>
          </cell>
          <cell r="J62">
            <v>16254770</v>
          </cell>
          <cell r="K62">
            <v>0</v>
          </cell>
          <cell r="L62">
            <v>6121620</v>
          </cell>
          <cell r="M62">
            <v>12527790</v>
          </cell>
          <cell r="N62">
            <v>753040</v>
          </cell>
          <cell r="O62">
            <v>-169660</v>
          </cell>
          <cell r="Q62">
            <v>0</v>
          </cell>
          <cell r="R62">
            <v>0</v>
          </cell>
        </row>
      </sheetData>
      <sheetData sheetId="26" refreshError="1"/>
      <sheetData sheetId="27">
        <row r="61">
          <cell r="I61">
            <v>57638020</v>
          </cell>
        </row>
      </sheetData>
      <sheetData sheetId="28" refreshError="1"/>
      <sheetData sheetId="29">
        <row r="61">
          <cell r="I61">
            <v>57638020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145B-3AB5-46C0-B49E-B18393498918}">
  <sheetPr>
    <tabColor rgb="FF00B0F0"/>
  </sheetPr>
  <dimension ref="A1:W92"/>
  <sheetViews>
    <sheetView showZeros="0" tabSelected="1" view="pageBreakPreview" zoomScale="86" zoomScaleNormal="160" zoomScaleSheetLayoutView="86" workbookViewId="0">
      <pane xSplit="6" ySplit="4" topLeftCell="G52" activePane="bottomRight" state="frozen"/>
      <selection activeCell="N12" sqref="N12"/>
      <selection pane="topRight" activeCell="N12" sqref="N12"/>
      <selection pane="bottomLeft" activeCell="N12" sqref="N12"/>
      <selection pane="bottomRight" activeCell="L53" sqref="L53"/>
    </sheetView>
  </sheetViews>
  <sheetFormatPr defaultColWidth="8.8984375" defaultRowHeight="17.399999999999999"/>
  <cols>
    <col min="1" max="1" width="5" style="5" customWidth="1"/>
    <col min="2" max="2" width="3.296875" style="5" customWidth="1"/>
    <col min="3" max="3" width="3.69921875" style="5" customWidth="1"/>
    <col min="4" max="4" width="7.19921875" style="5" customWidth="1"/>
    <col min="5" max="5" width="7.69921875" style="5" customWidth="1"/>
    <col min="6" max="6" width="7.59765625" style="5" customWidth="1"/>
    <col min="7" max="8" width="8.3984375" style="5" customWidth="1"/>
    <col min="9" max="9" width="10" style="5" customWidth="1"/>
    <col min="10" max="10" width="8.19921875" style="5" customWidth="1"/>
    <col min="11" max="11" width="7.59765625" style="5" customWidth="1"/>
    <col min="12" max="12" width="8.59765625" style="5" customWidth="1"/>
    <col min="13" max="13" width="8.19921875" style="4" customWidth="1"/>
    <col min="14" max="14" width="7" style="5" customWidth="1"/>
    <col min="15" max="15" width="7" style="128" customWidth="1"/>
    <col min="16" max="16" width="9.796875" style="5" customWidth="1"/>
    <col min="17" max="17" width="7.09765625" style="5" customWidth="1"/>
    <col min="18" max="18" width="9.19921875" style="5" customWidth="1"/>
    <col min="19" max="19" width="12.19921875" style="5" customWidth="1"/>
    <col min="20" max="20" width="8.8984375" style="127" customWidth="1"/>
    <col min="21" max="21" width="9" style="5" customWidth="1"/>
    <col min="22" max="22" width="10.3984375" style="5" bestFit="1" customWidth="1"/>
    <col min="23" max="23" width="12.296875" style="5" customWidth="1"/>
    <col min="24" max="249" width="8.8984375" style="5"/>
    <col min="250" max="250" width="5" style="5" customWidth="1"/>
    <col min="251" max="251" width="3.296875" style="5" customWidth="1"/>
    <col min="252" max="252" width="3.69921875" style="5" customWidth="1"/>
    <col min="253" max="253" width="7.19921875" style="5" customWidth="1"/>
    <col min="254" max="254" width="7.69921875" style="5" customWidth="1"/>
    <col min="255" max="255" width="7.59765625" style="5" customWidth="1"/>
    <col min="256" max="257" width="8.3984375" style="5" customWidth="1"/>
    <col min="258" max="258" width="10" style="5" customWidth="1"/>
    <col min="259" max="259" width="8.19921875" style="5" customWidth="1"/>
    <col min="260" max="260" width="7.59765625" style="5" customWidth="1"/>
    <col min="261" max="261" width="8.59765625" style="5" customWidth="1"/>
    <col min="262" max="262" width="8.19921875" style="5" customWidth="1"/>
    <col min="263" max="264" width="7" style="5" customWidth="1"/>
    <col min="265" max="265" width="9.796875" style="5" customWidth="1"/>
    <col min="266" max="266" width="7.09765625" style="5" customWidth="1"/>
    <col min="267" max="267" width="9.19921875" style="5" customWidth="1"/>
    <col min="268" max="268" width="12.19921875" style="5" customWidth="1"/>
    <col min="269" max="269" width="8.8984375" style="5"/>
    <col min="270" max="270" width="9" style="5" customWidth="1"/>
    <col min="271" max="271" width="10.3984375" style="5" bestFit="1" customWidth="1"/>
    <col min="272" max="272" width="12.296875" style="5" customWidth="1"/>
    <col min="273" max="273" width="22" style="5" customWidth="1"/>
    <col min="274" max="275" width="15.09765625" style="5" bestFit="1" customWidth="1"/>
    <col min="276" max="276" width="9.796875" style="5" bestFit="1" customWidth="1"/>
    <col min="277" max="277" width="6.09765625" style="5" customWidth="1"/>
    <col min="278" max="505" width="8.8984375" style="5"/>
    <col min="506" max="506" width="5" style="5" customWidth="1"/>
    <col min="507" max="507" width="3.296875" style="5" customWidth="1"/>
    <col min="508" max="508" width="3.69921875" style="5" customWidth="1"/>
    <col min="509" max="509" width="7.19921875" style="5" customWidth="1"/>
    <col min="510" max="510" width="7.69921875" style="5" customWidth="1"/>
    <col min="511" max="511" width="7.59765625" style="5" customWidth="1"/>
    <col min="512" max="513" width="8.3984375" style="5" customWidth="1"/>
    <col min="514" max="514" width="10" style="5" customWidth="1"/>
    <col min="515" max="515" width="8.19921875" style="5" customWidth="1"/>
    <col min="516" max="516" width="7.59765625" style="5" customWidth="1"/>
    <col min="517" max="517" width="8.59765625" style="5" customWidth="1"/>
    <col min="518" max="518" width="8.19921875" style="5" customWidth="1"/>
    <col min="519" max="520" width="7" style="5" customWidth="1"/>
    <col min="521" max="521" width="9.796875" style="5" customWidth="1"/>
    <col min="522" max="522" width="7.09765625" style="5" customWidth="1"/>
    <col min="523" max="523" width="9.19921875" style="5" customWidth="1"/>
    <col min="524" max="524" width="12.19921875" style="5" customWidth="1"/>
    <col min="525" max="525" width="8.8984375" style="5"/>
    <col min="526" max="526" width="9" style="5" customWidth="1"/>
    <col min="527" max="527" width="10.3984375" style="5" bestFit="1" customWidth="1"/>
    <col min="528" max="528" width="12.296875" style="5" customWidth="1"/>
    <col min="529" max="529" width="22" style="5" customWidth="1"/>
    <col min="530" max="531" width="15.09765625" style="5" bestFit="1" customWidth="1"/>
    <col min="532" max="532" width="9.796875" style="5" bestFit="1" customWidth="1"/>
    <col min="533" max="533" width="6.09765625" style="5" customWidth="1"/>
    <col min="534" max="761" width="8.8984375" style="5"/>
    <col min="762" max="762" width="5" style="5" customWidth="1"/>
    <col min="763" max="763" width="3.296875" style="5" customWidth="1"/>
    <col min="764" max="764" width="3.69921875" style="5" customWidth="1"/>
    <col min="765" max="765" width="7.19921875" style="5" customWidth="1"/>
    <col min="766" max="766" width="7.69921875" style="5" customWidth="1"/>
    <col min="767" max="767" width="7.59765625" style="5" customWidth="1"/>
    <col min="768" max="769" width="8.3984375" style="5" customWidth="1"/>
    <col min="770" max="770" width="10" style="5" customWidth="1"/>
    <col min="771" max="771" width="8.19921875" style="5" customWidth="1"/>
    <col min="772" max="772" width="7.59765625" style="5" customWidth="1"/>
    <col min="773" max="773" width="8.59765625" style="5" customWidth="1"/>
    <col min="774" max="774" width="8.19921875" style="5" customWidth="1"/>
    <col min="775" max="776" width="7" style="5" customWidth="1"/>
    <col min="777" max="777" width="9.796875" style="5" customWidth="1"/>
    <col min="778" max="778" width="7.09765625" style="5" customWidth="1"/>
    <col min="779" max="779" width="9.19921875" style="5" customWidth="1"/>
    <col min="780" max="780" width="12.19921875" style="5" customWidth="1"/>
    <col min="781" max="781" width="8.8984375" style="5"/>
    <col min="782" max="782" width="9" style="5" customWidth="1"/>
    <col min="783" max="783" width="10.3984375" style="5" bestFit="1" customWidth="1"/>
    <col min="784" max="784" width="12.296875" style="5" customWidth="1"/>
    <col min="785" max="785" width="22" style="5" customWidth="1"/>
    <col min="786" max="787" width="15.09765625" style="5" bestFit="1" customWidth="1"/>
    <col min="788" max="788" width="9.796875" style="5" bestFit="1" customWidth="1"/>
    <col min="789" max="789" width="6.09765625" style="5" customWidth="1"/>
    <col min="790" max="1017" width="8.8984375" style="5"/>
    <col min="1018" max="1018" width="5" style="5" customWidth="1"/>
    <col min="1019" max="1019" width="3.296875" style="5" customWidth="1"/>
    <col min="1020" max="1020" width="3.69921875" style="5" customWidth="1"/>
    <col min="1021" max="1021" width="7.19921875" style="5" customWidth="1"/>
    <col min="1022" max="1022" width="7.69921875" style="5" customWidth="1"/>
    <col min="1023" max="1023" width="7.59765625" style="5" customWidth="1"/>
    <col min="1024" max="1025" width="8.3984375" style="5" customWidth="1"/>
    <col min="1026" max="1026" width="10" style="5" customWidth="1"/>
    <col min="1027" max="1027" width="8.19921875" style="5" customWidth="1"/>
    <col min="1028" max="1028" width="7.59765625" style="5" customWidth="1"/>
    <col min="1029" max="1029" width="8.59765625" style="5" customWidth="1"/>
    <col min="1030" max="1030" width="8.19921875" style="5" customWidth="1"/>
    <col min="1031" max="1032" width="7" style="5" customWidth="1"/>
    <col min="1033" max="1033" width="9.796875" style="5" customWidth="1"/>
    <col min="1034" max="1034" width="7.09765625" style="5" customWidth="1"/>
    <col min="1035" max="1035" width="9.19921875" style="5" customWidth="1"/>
    <col min="1036" max="1036" width="12.19921875" style="5" customWidth="1"/>
    <col min="1037" max="1037" width="8.8984375" style="5"/>
    <col min="1038" max="1038" width="9" style="5" customWidth="1"/>
    <col min="1039" max="1039" width="10.3984375" style="5" bestFit="1" customWidth="1"/>
    <col min="1040" max="1040" width="12.296875" style="5" customWidth="1"/>
    <col min="1041" max="1041" width="22" style="5" customWidth="1"/>
    <col min="1042" max="1043" width="15.09765625" style="5" bestFit="1" customWidth="1"/>
    <col min="1044" max="1044" width="9.796875" style="5" bestFit="1" customWidth="1"/>
    <col min="1045" max="1045" width="6.09765625" style="5" customWidth="1"/>
    <col min="1046" max="1273" width="8.8984375" style="5"/>
    <col min="1274" max="1274" width="5" style="5" customWidth="1"/>
    <col min="1275" max="1275" width="3.296875" style="5" customWidth="1"/>
    <col min="1276" max="1276" width="3.69921875" style="5" customWidth="1"/>
    <col min="1277" max="1277" width="7.19921875" style="5" customWidth="1"/>
    <col min="1278" max="1278" width="7.69921875" style="5" customWidth="1"/>
    <col min="1279" max="1279" width="7.59765625" style="5" customWidth="1"/>
    <col min="1280" max="1281" width="8.3984375" style="5" customWidth="1"/>
    <col min="1282" max="1282" width="10" style="5" customWidth="1"/>
    <col min="1283" max="1283" width="8.19921875" style="5" customWidth="1"/>
    <col min="1284" max="1284" width="7.59765625" style="5" customWidth="1"/>
    <col min="1285" max="1285" width="8.59765625" style="5" customWidth="1"/>
    <col min="1286" max="1286" width="8.19921875" style="5" customWidth="1"/>
    <col min="1287" max="1288" width="7" style="5" customWidth="1"/>
    <col min="1289" max="1289" width="9.796875" style="5" customWidth="1"/>
    <col min="1290" max="1290" width="7.09765625" style="5" customWidth="1"/>
    <col min="1291" max="1291" width="9.19921875" style="5" customWidth="1"/>
    <col min="1292" max="1292" width="12.19921875" style="5" customWidth="1"/>
    <col min="1293" max="1293" width="8.8984375" style="5"/>
    <col min="1294" max="1294" width="9" style="5" customWidth="1"/>
    <col min="1295" max="1295" width="10.3984375" style="5" bestFit="1" customWidth="1"/>
    <col min="1296" max="1296" width="12.296875" style="5" customWidth="1"/>
    <col min="1297" max="1297" width="22" style="5" customWidth="1"/>
    <col min="1298" max="1299" width="15.09765625" style="5" bestFit="1" customWidth="1"/>
    <col min="1300" max="1300" width="9.796875" style="5" bestFit="1" customWidth="1"/>
    <col min="1301" max="1301" width="6.09765625" style="5" customWidth="1"/>
    <col min="1302" max="1529" width="8.8984375" style="5"/>
    <col min="1530" max="1530" width="5" style="5" customWidth="1"/>
    <col min="1531" max="1531" width="3.296875" style="5" customWidth="1"/>
    <col min="1532" max="1532" width="3.69921875" style="5" customWidth="1"/>
    <col min="1533" max="1533" width="7.19921875" style="5" customWidth="1"/>
    <col min="1534" max="1534" width="7.69921875" style="5" customWidth="1"/>
    <col min="1535" max="1535" width="7.59765625" style="5" customWidth="1"/>
    <col min="1536" max="1537" width="8.3984375" style="5" customWidth="1"/>
    <col min="1538" max="1538" width="10" style="5" customWidth="1"/>
    <col min="1539" max="1539" width="8.19921875" style="5" customWidth="1"/>
    <col min="1540" max="1540" width="7.59765625" style="5" customWidth="1"/>
    <col min="1541" max="1541" width="8.59765625" style="5" customWidth="1"/>
    <col min="1542" max="1542" width="8.19921875" style="5" customWidth="1"/>
    <col min="1543" max="1544" width="7" style="5" customWidth="1"/>
    <col min="1545" max="1545" width="9.796875" style="5" customWidth="1"/>
    <col min="1546" max="1546" width="7.09765625" style="5" customWidth="1"/>
    <col min="1547" max="1547" width="9.19921875" style="5" customWidth="1"/>
    <col min="1548" max="1548" width="12.19921875" style="5" customWidth="1"/>
    <col min="1549" max="1549" width="8.8984375" style="5"/>
    <col min="1550" max="1550" width="9" style="5" customWidth="1"/>
    <col min="1551" max="1551" width="10.3984375" style="5" bestFit="1" customWidth="1"/>
    <col min="1552" max="1552" width="12.296875" style="5" customWidth="1"/>
    <col min="1553" max="1553" width="22" style="5" customWidth="1"/>
    <col min="1554" max="1555" width="15.09765625" style="5" bestFit="1" customWidth="1"/>
    <col min="1556" max="1556" width="9.796875" style="5" bestFit="1" customWidth="1"/>
    <col min="1557" max="1557" width="6.09765625" style="5" customWidth="1"/>
    <col min="1558" max="1785" width="8.8984375" style="5"/>
    <col min="1786" max="1786" width="5" style="5" customWidth="1"/>
    <col min="1787" max="1787" width="3.296875" style="5" customWidth="1"/>
    <col min="1788" max="1788" width="3.69921875" style="5" customWidth="1"/>
    <col min="1789" max="1789" width="7.19921875" style="5" customWidth="1"/>
    <col min="1790" max="1790" width="7.69921875" style="5" customWidth="1"/>
    <col min="1791" max="1791" width="7.59765625" style="5" customWidth="1"/>
    <col min="1792" max="1793" width="8.3984375" style="5" customWidth="1"/>
    <col min="1794" max="1794" width="10" style="5" customWidth="1"/>
    <col min="1795" max="1795" width="8.19921875" style="5" customWidth="1"/>
    <col min="1796" max="1796" width="7.59765625" style="5" customWidth="1"/>
    <col min="1797" max="1797" width="8.59765625" style="5" customWidth="1"/>
    <col min="1798" max="1798" width="8.19921875" style="5" customWidth="1"/>
    <col min="1799" max="1800" width="7" style="5" customWidth="1"/>
    <col min="1801" max="1801" width="9.796875" style="5" customWidth="1"/>
    <col min="1802" max="1802" width="7.09765625" style="5" customWidth="1"/>
    <col min="1803" max="1803" width="9.19921875" style="5" customWidth="1"/>
    <col min="1804" max="1804" width="12.19921875" style="5" customWidth="1"/>
    <col min="1805" max="1805" width="8.8984375" style="5"/>
    <col min="1806" max="1806" width="9" style="5" customWidth="1"/>
    <col min="1807" max="1807" width="10.3984375" style="5" bestFit="1" customWidth="1"/>
    <col min="1808" max="1808" width="12.296875" style="5" customWidth="1"/>
    <col min="1809" max="1809" width="22" style="5" customWidth="1"/>
    <col min="1810" max="1811" width="15.09765625" style="5" bestFit="1" customWidth="1"/>
    <col min="1812" max="1812" width="9.796875" style="5" bestFit="1" customWidth="1"/>
    <col min="1813" max="1813" width="6.09765625" style="5" customWidth="1"/>
    <col min="1814" max="2041" width="8.8984375" style="5"/>
    <col min="2042" max="2042" width="5" style="5" customWidth="1"/>
    <col min="2043" max="2043" width="3.296875" style="5" customWidth="1"/>
    <col min="2044" max="2044" width="3.69921875" style="5" customWidth="1"/>
    <col min="2045" max="2045" width="7.19921875" style="5" customWidth="1"/>
    <col min="2046" max="2046" width="7.69921875" style="5" customWidth="1"/>
    <col min="2047" max="2047" width="7.59765625" style="5" customWidth="1"/>
    <col min="2048" max="2049" width="8.3984375" style="5" customWidth="1"/>
    <col min="2050" max="2050" width="10" style="5" customWidth="1"/>
    <col min="2051" max="2051" width="8.19921875" style="5" customWidth="1"/>
    <col min="2052" max="2052" width="7.59765625" style="5" customWidth="1"/>
    <col min="2053" max="2053" width="8.59765625" style="5" customWidth="1"/>
    <col min="2054" max="2054" width="8.19921875" style="5" customWidth="1"/>
    <col min="2055" max="2056" width="7" style="5" customWidth="1"/>
    <col min="2057" max="2057" width="9.796875" style="5" customWidth="1"/>
    <col min="2058" max="2058" width="7.09765625" style="5" customWidth="1"/>
    <col min="2059" max="2059" width="9.19921875" style="5" customWidth="1"/>
    <col min="2060" max="2060" width="12.19921875" style="5" customWidth="1"/>
    <col min="2061" max="2061" width="8.8984375" style="5"/>
    <col min="2062" max="2062" width="9" style="5" customWidth="1"/>
    <col min="2063" max="2063" width="10.3984375" style="5" bestFit="1" customWidth="1"/>
    <col min="2064" max="2064" width="12.296875" style="5" customWidth="1"/>
    <col min="2065" max="2065" width="22" style="5" customWidth="1"/>
    <col min="2066" max="2067" width="15.09765625" style="5" bestFit="1" customWidth="1"/>
    <col min="2068" max="2068" width="9.796875" style="5" bestFit="1" customWidth="1"/>
    <col min="2069" max="2069" width="6.09765625" style="5" customWidth="1"/>
    <col min="2070" max="2297" width="8.8984375" style="5"/>
    <col min="2298" max="2298" width="5" style="5" customWidth="1"/>
    <col min="2299" max="2299" width="3.296875" style="5" customWidth="1"/>
    <col min="2300" max="2300" width="3.69921875" style="5" customWidth="1"/>
    <col min="2301" max="2301" width="7.19921875" style="5" customWidth="1"/>
    <col min="2302" max="2302" width="7.69921875" style="5" customWidth="1"/>
    <col min="2303" max="2303" width="7.59765625" style="5" customWidth="1"/>
    <col min="2304" max="2305" width="8.3984375" style="5" customWidth="1"/>
    <col min="2306" max="2306" width="10" style="5" customWidth="1"/>
    <col min="2307" max="2307" width="8.19921875" style="5" customWidth="1"/>
    <col min="2308" max="2308" width="7.59765625" style="5" customWidth="1"/>
    <col min="2309" max="2309" width="8.59765625" style="5" customWidth="1"/>
    <col min="2310" max="2310" width="8.19921875" style="5" customWidth="1"/>
    <col min="2311" max="2312" width="7" style="5" customWidth="1"/>
    <col min="2313" max="2313" width="9.796875" style="5" customWidth="1"/>
    <col min="2314" max="2314" width="7.09765625" style="5" customWidth="1"/>
    <col min="2315" max="2315" width="9.19921875" style="5" customWidth="1"/>
    <col min="2316" max="2316" width="12.19921875" style="5" customWidth="1"/>
    <col min="2317" max="2317" width="8.8984375" style="5"/>
    <col min="2318" max="2318" width="9" style="5" customWidth="1"/>
    <col min="2319" max="2319" width="10.3984375" style="5" bestFit="1" customWidth="1"/>
    <col min="2320" max="2320" width="12.296875" style="5" customWidth="1"/>
    <col min="2321" max="2321" width="22" style="5" customWidth="1"/>
    <col min="2322" max="2323" width="15.09765625" style="5" bestFit="1" customWidth="1"/>
    <col min="2324" max="2324" width="9.796875" style="5" bestFit="1" customWidth="1"/>
    <col min="2325" max="2325" width="6.09765625" style="5" customWidth="1"/>
    <col min="2326" max="2553" width="8.8984375" style="5"/>
    <col min="2554" max="2554" width="5" style="5" customWidth="1"/>
    <col min="2555" max="2555" width="3.296875" style="5" customWidth="1"/>
    <col min="2556" max="2556" width="3.69921875" style="5" customWidth="1"/>
    <col min="2557" max="2557" width="7.19921875" style="5" customWidth="1"/>
    <col min="2558" max="2558" width="7.69921875" style="5" customWidth="1"/>
    <col min="2559" max="2559" width="7.59765625" style="5" customWidth="1"/>
    <col min="2560" max="2561" width="8.3984375" style="5" customWidth="1"/>
    <col min="2562" max="2562" width="10" style="5" customWidth="1"/>
    <col min="2563" max="2563" width="8.19921875" style="5" customWidth="1"/>
    <col min="2564" max="2564" width="7.59765625" style="5" customWidth="1"/>
    <col min="2565" max="2565" width="8.59765625" style="5" customWidth="1"/>
    <col min="2566" max="2566" width="8.19921875" style="5" customWidth="1"/>
    <col min="2567" max="2568" width="7" style="5" customWidth="1"/>
    <col min="2569" max="2569" width="9.796875" style="5" customWidth="1"/>
    <col min="2570" max="2570" width="7.09765625" style="5" customWidth="1"/>
    <col min="2571" max="2571" width="9.19921875" style="5" customWidth="1"/>
    <col min="2572" max="2572" width="12.19921875" style="5" customWidth="1"/>
    <col min="2573" max="2573" width="8.8984375" style="5"/>
    <col min="2574" max="2574" width="9" style="5" customWidth="1"/>
    <col min="2575" max="2575" width="10.3984375" style="5" bestFit="1" customWidth="1"/>
    <col min="2576" max="2576" width="12.296875" style="5" customWidth="1"/>
    <col min="2577" max="2577" width="22" style="5" customWidth="1"/>
    <col min="2578" max="2579" width="15.09765625" style="5" bestFit="1" customWidth="1"/>
    <col min="2580" max="2580" width="9.796875" style="5" bestFit="1" customWidth="1"/>
    <col min="2581" max="2581" width="6.09765625" style="5" customWidth="1"/>
    <col min="2582" max="2809" width="8.8984375" style="5"/>
    <col min="2810" max="2810" width="5" style="5" customWidth="1"/>
    <col min="2811" max="2811" width="3.296875" style="5" customWidth="1"/>
    <col min="2812" max="2812" width="3.69921875" style="5" customWidth="1"/>
    <col min="2813" max="2813" width="7.19921875" style="5" customWidth="1"/>
    <col min="2814" max="2814" width="7.69921875" style="5" customWidth="1"/>
    <col min="2815" max="2815" width="7.59765625" style="5" customWidth="1"/>
    <col min="2816" max="2817" width="8.3984375" style="5" customWidth="1"/>
    <col min="2818" max="2818" width="10" style="5" customWidth="1"/>
    <col min="2819" max="2819" width="8.19921875" style="5" customWidth="1"/>
    <col min="2820" max="2820" width="7.59765625" style="5" customWidth="1"/>
    <col min="2821" max="2821" width="8.59765625" style="5" customWidth="1"/>
    <col min="2822" max="2822" width="8.19921875" style="5" customWidth="1"/>
    <col min="2823" max="2824" width="7" style="5" customWidth="1"/>
    <col min="2825" max="2825" width="9.796875" style="5" customWidth="1"/>
    <col min="2826" max="2826" width="7.09765625" style="5" customWidth="1"/>
    <col min="2827" max="2827" width="9.19921875" style="5" customWidth="1"/>
    <col min="2828" max="2828" width="12.19921875" style="5" customWidth="1"/>
    <col min="2829" max="2829" width="8.8984375" style="5"/>
    <col min="2830" max="2830" width="9" style="5" customWidth="1"/>
    <col min="2831" max="2831" width="10.3984375" style="5" bestFit="1" customWidth="1"/>
    <col min="2832" max="2832" width="12.296875" style="5" customWidth="1"/>
    <col min="2833" max="2833" width="22" style="5" customWidth="1"/>
    <col min="2834" max="2835" width="15.09765625" style="5" bestFit="1" customWidth="1"/>
    <col min="2836" max="2836" width="9.796875" style="5" bestFit="1" customWidth="1"/>
    <col min="2837" max="2837" width="6.09765625" style="5" customWidth="1"/>
    <col min="2838" max="3065" width="8.8984375" style="5"/>
    <col min="3066" max="3066" width="5" style="5" customWidth="1"/>
    <col min="3067" max="3067" width="3.296875" style="5" customWidth="1"/>
    <col min="3068" max="3068" width="3.69921875" style="5" customWidth="1"/>
    <col min="3069" max="3069" width="7.19921875" style="5" customWidth="1"/>
    <col min="3070" max="3070" width="7.69921875" style="5" customWidth="1"/>
    <col min="3071" max="3071" width="7.59765625" style="5" customWidth="1"/>
    <col min="3072" max="3073" width="8.3984375" style="5" customWidth="1"/>
    <col min="3074" max="3074" width="10" style="5" customWidth="1"/>
    <col min="3075" max="3075" width="8.19921875" style="5" customWidth="1"/>
    <col min="3076" max="3076" width="7.59765625" style="5" customWidth="1"/>
    <col min="3077" max="3077" width="8.59765625" style="5" customWidth="1"/>
    <col min="3078" max="3078" width="8.19921875" style="5" customWidth="1"/>
    <col min="3079" max="3080" width="7" style="5" customWidth="1"/>
    <col min="3081" max="3081" width="9.796875" style="5" customWidth="1"/>
    <col min="3082" max="3082" width="7.09765625" style="5" customWidth="1"/>
    <col min="3083" max="3083" width="9.19921875" style="5" customWidth="1"/>
    <col min="3084" max="3084" width="12.19921875" style="5" customWidth="1"/>
    <col min="3085" max="3085" width="8.8984375" style="5"/>
    <col min="3086" max="3086" width="9" style="5" customWidth="1"/>
    <col min="3087" max="3087" width="10.3984375" style="5" bestFit="1" customWidth="1"/>
    <col min="3088" max="3088" width="12.296875" style="5" customWidth="1"/>
    <col min="3089" max="3089" width="22" style="5" customWidth="1"/>
    <col min="3090" max="3091" width="15.09765625" style="5" bestFit="1" customWidth="1"/>
    <col min="3092" max="3092" width="9.796875" style="5" bestFit="1" customWidth="1"/>
    <col min="3093" max="3093" width="6.09765625" style="5" customWidth="1"/>
    <col min="3094" max="3321" width="8.8984375" style="5"/>
    <col min="3322" max="3322" width="5" style="5" customWidth="1"/>
    <col min="3323" max="3323" width="3.296875" style="5" customWidth="1"/>
    <col min="3324" max="3324" width="3.69921875" style="5" customWidth="1"/>
    <col min="3325" max="3325" width="7.19921875" style="5" customWidth="1"/>
    <col min="3326" max="3326" width="7.69921875" style="5" customWidth="1"/>
    <col min="3327" max="3327" width="7.59765625" style="5" customWidth="1"/>
    <col min="3328" max="3329" width="8.3984375" style="5" customWidth="1"/>
    <col min="3330" max="3330" width="10" style="5" customWidth="1"/>
    <col min="3331" max="3331" width="8.19921875" style="5" customWidth="1"/>
    <col min="3332" max="3332" width="7.59765625" style="5" customWidth="1"/>
    <col min="3333" max="3333" width="8.59765625" style="5" customWidth="1"/>
    <col min="3334" max="3334" width="8.19921875" style="5" customWidth="1"/>
    <col min="3335" max="3336" width="7" style="5" customWidth="1"/>
    <col min="3337" max="3337" width="9.796875" style="5" customWidth="1"/>
    <col min="3338" max="3338" width="7.09765625" style="5" customWidth="1"/>
    <col min="3339" max="3339" width="9.19921875" style="5" customWidth="1"/>
    <col min="3340" max="3340" width="12.19921875" style="5" customWidth="1"/>
    <col min="3341" max="3341" width="8.8984375" style="5"/>
    <col min="3342" max="3342" width="9" style="5" customWidth="1"/>
    <col min="3343" max="3343" width="10.3984375" style="5" bestFit="1" customWidth="1"/>
    <col min="3344" max="3344" width="12.296875" style="5" customWidth="1"/>
    <col min="3345" max="3345" width="22" style="5" customWidth="1"/>
    <col min="3346" max="3347" width="15.09765625" style="5" bestFit="1" customWidth="1"/>
    <col min="3348" max="3348" width="9.796875" style="5" bestFit="1" customWidth="1"/>
    <col min="3349" max="3349" width="6.09765625" style="5" customWidth="1"/>
    <col min="3350" max="3577" width="8.8984375" style="5"/>
    <col min="3578" max="3578" width="5" style="5" customWidth="1"/>
    <col min="3579" max="3579" width="3.296875" style="5" customWidth="1"/>
    <col min="3580" max="3580" width="3.69921875" style="5" customWidth="1"/>
    <col min="3581" max="3581" width="7.19921875" style="5" customWidth="1"/>
    <col min="3582" max="3582" width="7.69921875" style="5" customWidth="1"/>
    <col min="3583" max="3583" width="7.59765625" style="5" customWidth="1"/>
    <col min="3584" max="3585" width="8.3984375" style="5" customWidth="1"/>
    <col min="3586" max="3586" width="10" style="5" customWidth="1"/>
    <col min="3587" max="3587" width="8.19921875" style="5" customWidth="1"/>
    <col min="3588" max="3588" width="7.59765625" style="5" customWidth="1"/>
    <col min="3589" max="3589" width="8.59765625" style="5" customWidth="1"/>
    <col min="3590" max="3590" width="8.19921875" style="5" customWidth="1"/>
    <col min="3591" max="3592" width="7" style="5" customWidth="1"/>
    <col min="3593" max="3593" width="9.796875" style="5" customWidth="1"/>
    <col min="3594" max="3594" width="7.09765625" style="5" customWidth="1"/>
    <col min="3595" max="3595" width="9.19921875" style="5" customWidth="1"/>
    <col min="3596" max="3596" width="12.19921875" style="5" customWidth="1"/>
    <col min="3597" max="3597" width="8.8984375" style="5"/>
    <col min="3598" max="3598" width="9" style="5" customWidth="1"/>
    <col min="3599" max="3599" width="10.3984375" style="5" bestFit="1" customWidth="1"/>
    <col min="3600" max="3600" width="12.296875" style="5" customWidth="1"/>
    <col min="3601" max="3601" width="22" style="5" customWidth="1"/>
    <col min="3602" max="3603" width="15.09765625" style="5" bestFit="1" customWidth="1"/>
    <col min="3604" max="3604" width="9.796875" style="5" bestFit="1" customWidth="1"/>
    <col min="3605" max="3605" width="6.09765625" style="5" customWidth="1"/>
    <col min="3606" max="3833" width="8.8984375" style="5"/>
    <col min="3834" max="3834" width="5" style="5" customWidth="1"/>
    <col min="3835" max="3835" width="3.296875" style="5" customWidth="1"/>
    <col min="3836" max="3836" width="3.69921875" style="5" customWidth="1"/>
    <col min="3837" max="3837" width="7.19921875" style="5" customWidth="1"/>
    <col min="3838" max="3838" width="7.69921875" style="5" customWidth="1"/>
    <col min="3839" max="3839" width="7.59765625" style="5" customWidth="1"/>
    <col min="3840" max="3841" width="8.3984375" style="5" customWidth="1"/>
    <col min="3842" max="3842" width="10" style="5" customWidth="1"/>
    <col min="3843" max="3843" width="8.19921875" style="5" customWidth="1"/>
    <col min="3844" max="3844" width="7.59765625" style="5" customWidth="1"/>
    <col min="3845" max="3845" width="8.59765625" style="5" customWidth="1"/>
    <col min="3846" max="3846" width="8.19921875" style="5" customWidth="1"/>
    <col min="3847" max="3848" width="7" style="5" customWidth="1"/>
    <col min="3849" max="3849" width="9.796875" style="5" customWidth="1"/>
    <col min="3850" max="3850" width="7.09765625" style="5" customWidth="1"/>
    <col min="3851" max="3851" width="9.19921875" style="5" customWidth="1"/>
    <col min="3852" max="3852" width="12.19921875" style="5" customWidth="1"/>
    <col min="3853" max="3853" width="8.8984375" style="5"/>
    <col min="3854" max="3854" width="9" style="5" customWidth="1"/>
    <col min="3855" max="3855" width="10.3984375" style="5" bestFit="1" customWidth="1"/>
    <col min="3856" max="3856" width="12.296875" style="5" customWidth="1"/>
    <col min="3857" max="3857" width="22" style="5" customWidth="1"/>
    <col min="3858" max="3859" width="15.09765625" style="5" bestFit="1" customWidth="1"/>
    <col min="3860" max="3860" width="9.796875" style="5" bestFit="1" customWidth="1"/>
    <col min="3861" max="3861" width="6.09765625" style="5" customWidth="1"/>
    <col min="3862" max="4089" width="8.8984375" style="5"/>
    <col min="4090" max="4090" width="5" style="5" customWidth="1"/>
    <col min="4091" max="4091" width="3.296875" style="5" customWidth="1"/>
    <col min="4092" max="4092" width="3.69921875" style="5" customWidth="1"/>
    <col min="4093" max="4093" width="7.19921875" style="5" customWidth="1"/>
    <col min="4094" max="4094" width="7.69921875" style="5" customWidth="1"/>
    <col min="4095" max="4095" width="7.59765625" style="5" customWidth="1"/>
    <col min="4096" max="4097" width="8.3984375" style="5" customWidth="1"/>
    <col min="4098" max="4098" width="10" style="5" customWidth="1"/>
    <col min="4099" max="4099" width="8.19921875" style="5" customWidth="1"/>
    <col min="4100" max="4100" width="7.59765625" style="5" customWidth="1"/>
    <col min="4101" max="4101" width="8.59765625" style="5" customWidth="1"/>
    <col min="4102" max="4102" width="8.19921875" style="5" customWidth="1"/>
    <col min="4103" max="4104" width="7" style="5" customWidth="1"/>
    <col min="4105" max="4105" width="9.796875" style="5" customWidth="1"/>
    <col min="4106" max="4106" width="7.09765625" style="5" customWidth="1"/>
    <col min="4107" max="4107" width="9.19921875" style="5" customWidth="1"/>
    <col min="4108" max="4108" width="12.19921875" style="5" customWidth="1"/>
    <col min="4109" max="4109" width="8.8984375" style="5"/>
    <col min="4110" max="4110" width="9" style="5" customWidth="1"/>
    <col min="4111" max="4111" width="10.3984375" style="5" bestFit="1" customWidth="1"/>
    <col min="4112" max="4112" width="12.296875" style="5" customWidth="1"/>
    <col min="4113" max="4113" width="22" style="5" customWidth="1"/>
    <col min="4114" max="4115" width="15.09765625" style="5" bestFit="1" customWidth="1"/>
    <col min="4116" max="4116" width="9.796875" style="5" bestFit="1" customWidth="1"/>
    <col min="4117" max="4117" width="6.09765625" style="5" customWidth="1"/>
    <col min="4118" max="4345" width="8.8984375" style="5"/>
    <col min="4346" max="4346" width="5" style="5" customWidth="1"/>
    <col min="4347" max="4347" width="3.296875" style="5" customWidth="1"/>
    <col min="4348" max="4348" width="3.69921875" style="5" customWidth="1"/>
    <col min="4349" max="4349" width="7.19921875" style="5" customWidth="1"/>
    <col min="4350" max="4350" width="7.69921875" style="5" customWidth="1"/>
    <col min="4351" max="4351" width="7.59765625" style="5" customWidth="1"/>
    <col min="4352" max="4353" width="8.3984375" style="5" customWidth="1"/>
    <col min="4354" max="4354" width="10" style="5" customWidth="1"/>
    <col min="4355" max="4355" width="8.19921875" style="5" customWidth="1"/>
    <col min="4356" max="4356" width="7.59765625" style="5" customWidth="1"/>
    <col min="4357" max="4357" width="8.59765625" style="5" customWidth="1"/>
    <col min="4358" max="4358" width="8.19921875" style="5" customWidth="1"/>
    <col min="4359" max="4360" width="7" style="5" customWidth="1"/>
    <col min="4361" max="4361" width="9.796875" style="5" customWidth="1"/>
    <col min="4362" max="4362" width="7.09765625" style="5" customWidth="1"/>
    <col min="4363" max="4363" width="9.19921875" style="5" customWidth="1"/>
    <col min="4364" max="4364" width="12.19921875" style="5" customWidth="1"/>
    <col min="4365" max="4365" width="8.8984375" style="5"/>
    <col min="4366" max="4366" width="9" style="5" customWidth="1"/>
    <col min="4367" max="4367" width="10.3984375" style="5" bestFit="1" customWidth="1"/>
    <col min="4368" max="4368" width="12.296875" style="5" customWidth="1"/>
    <col min="4369" max="4369" width="22" style="5" customWidth="1"/>
    <col min="4370" max="4371" width="15.09765625" style="5" bestFit="1" customWidth="1"/>
    <col min="4372" max="4372" width="9.796875" style="5" bestFit="1" customWidth="1"/>
    <col min="4373" max="4373" width="6.09765625" style="5" customWidth="1"/>
    <col min="4374" max="4601" width="8.8984375" style="5"/>
    <col min="4602" max="4602" width="5" style="5" customWidth="1"/>
    <col min="4603" max="4603" width="3.296875" style="5" customWidth="1"/>
    <col min="4604" max="4604" width="3.69921875" style="5" customWidth="1"/>
    <col min="4605" max="4605" width="7.19921875" style="5" customWidth="1"/>
    <col min="4606" max="4606" width="7.69921875" style="5" customWidth="1"/>
    <col min="4607" max="4607" width="7.59765625" style="5" customWidth="1"/>
    <col min="4608" max="4609" width="8.3984375" style="5" customWidth="1"/>
    <col min="4610" max="4610" width="10" style="5" customWidth="1"/>
    <col min="4611" max="4611" width="8.19921875" style="5" customWidth="1"/>
    <col min="4612" max="4612" width="7.59765625" style="5" customWidth="1"/>
    <col min="4613" max="4613" width="8.59765625" style="5" customWidth="1"/>
    <col min="4614" max="4614" width="8.19921875" style="5" customWidth="1"/>
    <col min="4615" max="4616" width="7" style="5" customWidth="1"/>
    <col min="4617" max="4617" width="9.796875" style="5" customWidth="1"/>
    <col min="4618" max="4618" width="7.09765625" style="5" customWidth="1"/>
    <col min="4619" max="4619" width="9.19921875" style="5" customWidth="1"/>
    <col min="4620" max="4620" width="12.19921875" style="5" customWidth="1"/>
    <col min="4621" max="4621" width="8.8984375" style="5"/>
    <col min="4622" max="4622" width="9" style="5" customWidth="1"/>
    <col min="4623" max="4623" width="10.3984375" style="5" bestFit="1" customWidth="1"/>
    <col min="4624" max="4624" width="12.296875" style="5" customWidth="1"/>
    <col min="4625" max="4625" width="22" style="5" customWidth="1"/>
    <col min="4626" max="4627" width="15.09765625" style="5" bestFit="1" customWidth="1"/>
    <col min="4628" max="4628" width="9.796875" style="5" bestFit="1" customWidth="1"/>
    <col min="4629" max="4629" width="6.09765625" style="5" customWidth="1"/>
    <col min="4630" max="4857" width="8.8984375" style="5"/>
    <col min="4858" max="4858" width="5" style="5" customWidth="1"/>
    <col min="4859" max="4859" width="3.296875" style="5" customWidth="1"/>
    <col min="4860" max="4860" width="3.69921875" style="5" customWidth="1"/>
    <col min="4861" max="4861" width="7.19921875" style="5" customWidth="1"/>
    <col min="4862" max="4862" width="7.69921875" style="5" customWidth="1"/>
    <col min="4863" max="4863" width="7.59765625" style="5" customWidth="1"/>
    <col min="4864" max="4865" width="8.3984375" style="5" customWidth="1"/>
    <col min="4866" max="4866" width="10" style="5" customWidth="1"/>
    <col min="4867" max="4867" width="8.19921875" style="5" customWidth="1"/>
    <col min="4868" max="4868" width="7.59765625" style="5" customWidth="1"/>
    <col min="4869" max="4869" width="8.59765625" style="5" customWidth="1"/>
    <col min="4870" max="4870" width="8.19921875" style="5" customWidth="1"/>
    <col min="4871" max="4872" width="7" style="5" customWidth="1"/>
    <col min="4873" max="4873" width="9.796875" style="5" customWidth="1"/>
    <col min="4874" max="4874" width="7.09765625" style="5" customWidth="1"/>
    <col min="4875" max="4875" width="9.19921875" style="5" customWidth="1"/>
    <col min="4876" max="4876" width="12.19921875" style="5" customWidth="1"/>
    <col min="4877" max="4877" width="8.8984375" style="5"/>
    <col min="4878" max="4878" width="9" style="5" customWidth="1"/>
    <col min="4879" max="4879" width="10.3984375" style="5" bestFit="1" customWidth="1"/>
    <col min="4880" max="4880" width="12.296875" style="5" customWidth="1"/>
    <col min="4881" max="4881" width="22" style="5" customWidth="1"/>
    <col min="4882" max="4883" width="15.09765625" style="5" bestFit="1" customWidth="1"/>
    <col min="4884" max="4884" width="9.796875" style="5" bestFit="1" customWidth="1"/>
    <col min="4885" max="4885" width="6.09765625" style="5" customWidth="1"/>
    <col min="4886" max="5113" width="8.8984375" style="5"/>
    <col min="5114" max="5114" width="5" style="5" customWidth="1"/>
    <col min="5115" max="5115" width="3.296875" style="5" customWidth="1"/>
    <col min="5116" max="5116" width="3.69921875" style="5" customWidth="1"/>
    <col min="5117" max="5117" width="7.19921875" style="5" customWidth="1"/>
    <col min="5118" max="5118" width="7.69921875" style="5" customWidth="1"/>
    <col min="5119" max="5119" width="7.59765625" style="5" customWidth="1"/>
    <col min="5120" max="5121" width="8.3984375" style="5" customWidth="1"/>
    <col min="5122" max="5122" width="10" style="5" customWidth="1"/>
    <col min="5123" max="5123" width="8.19921875" style="5" customWidth="1"/>
    <col min="5124" max="5124" width="7.59765625" style="5" customWidth="1"/>
    <col min="5125" max="5125" width="8.59765625" style="5" customWidth="1"/>
    <col min="5126" max="5126" width="8.19921875" style="5" customWidth="1"/>
    <col min="5127" max="5128" width="7" style="5" customWidth="1"/>
    <col min="5129" max="5129" width="9.796875" style="5" customWidth="1"/>
    <col min="5130" max="5130" width="7.09765625" style="5" customWidth="1"/>
    <col min="5131" max="5131" width="9.19921875" style="5" customWidth="1"/>
    <col min="5132" max="5132" width="12.19921875" style="5" customWidth="1"/>
    <col min="5133" max="5133" width="8.8984375" style="5"/>
    <col min="5134" max="5134" width="9" style="5" customWidth="1"/>
    <col min="5135" max="5135" width="10.3984375" style="5" bestFit="1" customWidth="1"/>
    <col min="5136" max="5136" width="12.296875" style="5" customWidth="1"/>
    <col min="5137" max="5137" width="22" style="5" customWidth="1"/>
    <col min="5138" max="5139" width="15.09765625" style="5" bestFit="1" customWidth="1"/>
    <col min="5140" max="5140" width="9.796875" style="5" bestFit="1" customWidth="1"/>
    <col min="5141" max="5141" width="6.09765625" style="5" customWidth="1"/>
    <col min="5142" max="5369" width="8.8984375" style="5"/>
    <col min="5370" max="5370" width="5" style="5" customWidth="1"/>
    <col min="5371" max="5371" width="3.296875" style="5" customWidth="1"/>
    <col min="5372" max="5372" width="3.69921875" style="5" customWidth="1"/>
    <col min="5373" max="5373" width="7.19921875" style="5" customWidth="1"/>
    <col min="5374" max="5374" width="7.69921875" style="5" customWidth="1"/>
    <col min="5375" max="5375" width="7.59765625" style="5" customWidth="1"/>
    <col min="5376" max="5377" width="8.3984375" style="5" customWidth="1"/>
    <col min="5378" max="5378" width="10" style="5" customWidth="1"/>
    <col min="5379" max="5379" width="8.19921875" style="5" customWidth="1"/>
    <col min="5380" max="5380" width="7.59765625" style="5" customWidth="1"/>
    <col min="5381" max="5381" width="8.59765625" style="5" customWidth="1"/>
    <col min="5382" max="5382" width="8.19921875" style="5" customWidth="1"/>
    <col min="5383" max="5384" width="7" style="5" customWidth="1"/>
    <col min="5385" max="5385" width="9.796875" style="5" customWidth="1"/>
    <col min="5386" max="5386" width="7.09765625" style="5" customWidth="1"/>
    <col min="5387" max="5387" width="9.19921875" style="5" customWidth="1"/>
    <col min="5388" max="5388" width="12.19921875" style="5" customWidth="1"/>
    <col min="5389" max="5389" width="8.8984375" style="5"/>
    <col min="5390" max="5390" width="9" style="5" customWidth="1"/>
    <col min="5391" max="5391" width="10.3984375" style="5" bestFit="1" customWidth="1"/>
    <col min="5392" max="5392" width="12.296875" style="5" customWidth="1"/>
    <col min="5393" max="5393" width="22" style="5" customWidth="1"/>
    <col min="5394" max="5395" width="15.09765625" style="5" bestFit="1" customWidth="1"/>
    <col min="5396" max="5396" width="9.796875" style="5" bestFit="1" customWidth="1"/>
    <col min="5397" max="5397" width="6.09765625" style="5" customWidth="1"/>
    <col min="5398" max="5625" width="8.8984375" style="5"/>
    <col min="5626" max="5626" width="5" style="5" customWidth="1"/>
    <col min="5627" max="5627" width="3.296875" style="5" customWidth="1"/>
    <col min="5628" max="5628" width="3.69921875" style="5" customWidth="1"/>
    <col min="5629" max="5629" width="7.19921875" style="5" customWidth="1"/>
    <col min="5630" max="5630" width="7.69921875" style="5" customWidth="1"/>
    <col min="5631" max="5631" width="7.59765625" style="5" customWidth="1"/>
    <col min="5632" max="5633" width="8.3984375" style="5" customWidth="1"/>
    <col min="5634" max="5634" width="10" style="5" customWidth="1"/>
    <col min="5635" max="5635" width="8.19921875" style="5" customWidth="1"/>
    <col min="5636" max="5636" width="7.59765625" style="5" customWidth="1"/>
    <col min="5637" max="5637" width="8.59765625" style="5" customWidth="1"/>
    <col min="5638" max="5638" width="8.19921875" style="5" customWidth="1"/>
    <col min="5639" max="5640" width="7" style="5" customWidth="1"/>
    <col min="5641" max="5641" width="9.796875" style="5" customWidth="1"/>
    <col min="5642" max="5642" width="7.09765625" style="5" customWidth="1"/>
    <col min="5643" max="5643" width="9.19921875" style="5" customWidth="1"/>
    <col min="5644" max="5644" width="12.19921875" style="5" customWidth="1"/>
    <col min="5645" max="5645" width="8.8984375" style="5"/>
    <col min="5646" max="5646" width="9" style="5" customWidth="1"/>
    <col min="5647" max="5647" width="10.3984375" style="5" bestFit="1" customWidth="1"/>
    <col min="5648" max="5648" width="12.296875" style="5" customWidth="1"/>
    <col min="5649" max="5649" width="22" style="5" customWidth="1"/>
    <col min="5650" max="5651" width="15.09765625" style="5" bestFit="1" customWidth="1"/>
    <col min="5652" max="5652" width="9.796875" style="5" bestFit="1" customWidth="1"/>
    <col min="5653" max="5653" width="6.09765625" style="5" customWidth="1"/>
    <col min="5654" max="5881" width="8.8984375" style="5"/>
    <col min="5882" max="5882" width="5" style="5" customWidth="1"/>
    <col min="5883" max="5883" width="3.296875" style="5" customWidth="1"/>
    <col min="5884" max="5884" width="3.69921875" style="5" customWidth="1"/>
    <col min="5885" max="5885" width="7.19921875" style="5" customWidth="1"/>
    <col min="5886" max="5886" width="7.69921875" style="5" customWidth="1"/>
    <col min="5887" max="5887" width="7.59765625" style="5" customWidth="1"/>
    <col min="5888" max="5889" width="8.3984375" style="5" customWidth="1"/>
    <col min="5890" max="5890" width="10" style="5" customWidth="1"/>
    <col min="5891" max="5891" width="8.19921875" style="5" customWidth="1"/>
    <col min="5892" max="5892" width="7.59765625" style="5" customWidth="1"/>
    <col min="5893" max="5893" width="8.59765625" style="5" customWidth="1"/>
    <col min="5894" max="5894" width="8.19921875" style="5" customWidth="1"/>
    <col min="5895" max="5896" width="7" style="5" customWidth="1"/>
    <col min="5897" max="5897" width="9.796875" style="5" customWidth="1"/>
    <col min="5898" max="5898" width="7.09765625" style="5" customWidth="1"/>
    <col min="5899" max="5899" width="9.19921875" style="5" customWidth="1"/>
    <col min="5900" max="5900" width="12.19921875" style="5" customWidth="1"/>
    <col min="5901" max="5901" width="8.8984375" style="5"/>
    <col min="5902" max="5902" width="9" style="5" customWidth="1"/>
    <col min="5903" max="5903" width="10.3984375" style="5" bestFit="1" customWidth="1"/>
    <col min="5904" max="5904" width="12.296875" style="5" customWidth="1"/>
    <col min="5905" max="5905" width="22" style="5" customWidth="1"/>
    <col min="5906" max="5907" width="15.09765625" style="5" bestFit="1" customWidth="1"/>
    <col min="5908" max="5908" width="9.796875" style="5" bestFit="1" customWidth="1"/>
    <col min="5909" max="5909" width="6.09765625" style="5" customWidth="1"/>
    <col min="5910" max="6137" width="8.8984375" style="5"/>
    <col min="6138" max="6138" width="5" style="5" customWidth="1"/>
    <col min="6139" max="6139" width="3.296875" style="5" customWidth="1"/>
    <col min="6140" max="6140" width="3.69921875" style="5" customWidth="1"/>
    <col min="6141" max="6141" width="7.19921875" style="5" customWidth="1"/>
    <col min="6142" max="6142" width="7.69921875" style="5" customWidth="1"/>
    <col min="6143" max="6143" width="7.59765625" style="5" customWidth="1"/>
    <col min="6144" max="6145" width="8.3984375" style="5" customWidth="1"/>
    <col min="6146" max="6146" width="10" style="5" customWidth="1"/>
    <col min="6147" max="6147" width="8.19921875" style="5" customWidth="1"/>
    <col min="6148" max="6148" width="7.59765625" style="5" customWidth="1"/>
    <col min="6149" max="6149" width="8.59765625" style="5" customWidth="1"/>
    <col min="6150" max="6150" width="8.19921875" style="5" customWidth="1"/>
    <col min="6151" max="6152" width="7" style="5" customWidth="1"/>
    <col min="6153" max="6153" width="9.796875" style="5" customWidth="1"/>
    <col min="6154" max="6154" width="7.09765625" style="5" customWidth="1"/>
    <col min="6155" max="6155" width="9.19921875" style="5" customWidth="1"/>
    <col min="6156" max="6156" width="12.19921875" style="5" customWidth="1"/>
    <col min="6157" max="6157" width="8.8984375" style="5"/>
    <col min="6158" max="6158" width="9" style="5" customWidth="1"/>
    <col min="6159" max="6159" width="10.3984375" style="5" bestFit="1" customWidth="1"/>
    <col min="6160" max="6160" width="12.296875" style="5" customWidth="1"/>
    <col min="6161" max="6161" width="22" style="5" customWidth="1"/>
    <col min="6162" max="6163" width="15.09765625" style="5" bestFit="1" customWidth="1"/>
    <col min="6164" max="6164" width="9.796875" style="5" bestFit="1" customWidth="1"/>
    <col min="6165" max="6165" width="6.09765625" style="5" customWidth="1"/>
    <col min="6166" max="6393" width="8.8984375" style="5"/>
    <col min="6394" max="6394" width="5" style="5" customWidth="1"/>
    <col min="6395" max="6395" width="3.296875" style="5" customWidth="1"/>
    <col min="6396" max="6396" width="3.69921875" style="5" customWidth="1"/>
    <col min="6397" max="6397" width="7.19921875" style="5" customWidth="1"/>
    <col min="6398" max="6398" width="7.69921875" style="5" customWidth="1"/>
    <col min="6399" max="6399" width="7.59765625" style="5" customWidth="1"/>
    <col min="6400" max="6401" width="8.3984375" style="5" customWidth="1"/>
    <col min="6402" max="6402" width="10" style="5" customWidth="1"/>
    <col min="6403" max="6403" width="8.19921875" style="5" customWidth="1"/>
    <col min="6404" max="6404" width="7.59765625" style="5" customWidth="1"/>
    <col min="6405" max="6405" width="8.59765625" style="5" customWidth="1"/>
    <col min="6406" max="6406" width="8.19921875" style="5" customWidth="1"/>
    <col min="6407" max="6408" width="7" style="5" customWidth="1"/>
    <col min="6409" max="6409" width="9.796875" style="5" customWidth="1"/>
    <col min="6410" max="6410" width="7.09765625" style="5" customWidth="1"/>
    <col min="6411" max="6411" width="9.19921875" style="5" customWidth="1"/>
    <col min="6412" max="6412" width="12.19921875" style="5" customWidth="1"/>
    <col min="6413" max="6413" width="8.8984375" style="5"/>
    <col min="6414" max="6414" width="9" style="5" customWidth="1"/>
    <col min="6415" max="6415" width="10.3984375" style="5" bestFit="1" customWidth="1"/>
    <col min="6416" max="6416" width="12.296875" style="5" customWidth="1"/>
    <col min="6417" max="6417" width="22" style="5" customWidth="1"/>
    <col min="6418" max="6419" width="15.09765625" style="5" bestFit="1" customWidth="1"/>
    <col min="6420" max="6420" width="9.796875" style="5" bestFit="1" customWidth="1"/>
    <col min="6421" max="6421" width="6.09765625" style="5" customWidth="1"/>
    <col min="6422" max="6649" width="8.8984375" style="5"/>
    <col min="6650" max="6650" width="5" style="5" customWidth="1"/>
    <col min="6651" max="6651" width="3.296875" style="5" customWidth="1"/>
    <col min="6652" max="6652" width="3.69921875" style="5" customWidth="1"/>
    <col min="6653" max="6653" width="7.19921875" style="5" customWidth="1"/>
    <col min="6654" max="6654" width="7.69921875" style="5" customWidth="1"/>
    <col min="6655" max="6655" width="7.59765625" style="5" customWidth="1"/>
    <col min="6656" max="6657" width="8.3984375" style="5" customWidth="1"/>
    <col min="6658" max="6658" width="10" style="5" customWidth="1"/>
    <col min="6659" max="6659" width="8.19921875" style="5" customWidth="1"/>
    <col min="6660" max="6660" width="7.59765625" style="5" customWidth="1"/>
    <col min="6661" max="6661" width="8.59765625" style="5" customWidth="1"/>
    <col min="6662" max="6662" width="8.19921875" style="5" customWidth="1"/>
    <col min="6663" max="6664" width="7" style="5" customWidth="1"/>
    <col min="6665" max="6665" width="9.796875" style="5" customWidth="1"/>
    <col min="6666" max="6666" width="7.09765625" style="5" customWidth="1"/>
    <col min="6667" max="6667" width="9.19921875" style="5" customWidth="1"/>
    <col min="6668" max="6668" width="12.19921875" style="5" customWidth="1"/>
    <col min="6669" max="6669" width="8.8984375" style="5"/>
    <col min="6670" max="6670" width="9" style="5" customWidth="1"/>
    <col min="6671" max="6671" width="10.3984375" style="5" bestFit="1" customWidth="1"/>
    <col min="6672" max="6672" width="12.296875" style="5" customWidth="1"/>
    <col min="6673" max="6673" width="22" style="5" customWidth="1"/>
    <col min="6674" max="6675" width="15.09765625" style="5" bestFit="1" customWidth="1"/>
    <col min="6676" max="6676" width="9.796875" style="5" bestFit="1" customWidth="1"/>
    <col min="6677" max="6677" width="6.09765625" style="5" customWidth="1"/>
    <col min="6678" max="6905" width="8.8984375" style="5"/>
    <col min="6906" max="6906" width="5" style="5" customWidth="1"/>
    <col min="6907" max="6907" width="3.296875" style="5" customWidth="1"/>
    <col min="6908" max="6908" width="3.69921875" style="5" customWidth="1"/>
    <col min="6909" max="6909" width="7.19921875" style="5" customWidth="1"/>
    <col min="6910" max="6910" width="7.69921875" style="5" customWidth="1"/>
    <col min="6911" max="6911" width="7.59765625" style="5" customWidth="1"/>
    <col min="6912" max="6913" width="8.3984375" style="5" customWidth="1"/>
    <col min="6914" max="6914" width="10" style="5" customWidth="1"/>
    <col min="6915" max="6915" width="8.19921875" style="5" customWidth="1"/>
    <col min="6916" max="6916" width="7.59765625" style="5" customWidth="1"/>
    <col min="6917" max="6917" width="8.59765625" style="5" customWidth="1"/>
    <col min="6918" max="6918" width="8.19921875" style="5" customWidth="1"/>
    <col min="6919" max="6920" width="7" style="5" customWidth="1"/>
    <col min="6921" max="6921" width="9.796875" style="5" customWidth="1"/>
    <col min="6922" max="6922" width="7.09765625" style="5" customWidth="1"/>
    <col min="6923" max="6923" width="9.19921875" style="5" customWidth="1"/>
    <col min="6924" max="6924" width="12.19921875" style="5" customWidth="1"/>
    <col min="6925" max="6925" width="8.8984375" style="5"/>
    <col min="6926" max="6926" width="9" style="5" customWidth="1"/>
    <col min="6927" max="6927" width="10.3984375" style="5" bestFit="1" customWidth="1"/>
    <col min="6928" max="6928" width="12.296875" style="5" customWidth="1"/>
    <col min="6929" max="6929" width="22" style="5" customWidth="1"/>
    <col min="6930" max="6931" width="15.09765625" style="5" bestFit="1" customWidth="1"/>
    <col min="6932" max="6932" width="9.796875" style="5" bestFit="1" customWidth="1"/>
    <col min="6933" max="6933" width="6.09765625" style="5" customWidth="1"/>
    <col min="6934" max="7161" width="8.8984375" style="5"/>
    <col min="7162" max="7162" width="5" style="5" customWidth="1"/>
    <col min="7163" max="7163" width="3.296875" style="5" customWidth="1"/>
    <col min="7164" max="7164" width="3.69921875" style="5" customWidth="1"/>
    <col min="7165" max="7165" width="7.19921875" style="5" customWidth="1"/>
    <col min="7166" max="7166" width="7.69921875" style="5" customWidth="1"/>
    <col min="7167" max="7167" width="7.59765625" style="5" customWidth="1"/>
    <col min="7168" max="7169" width="8.3984375" style="5" customWidth="1"/>
    <col min="7170" max="7170" width="10" style="5" customWidth="1"/>
    <col min="7171" max="7171" width="8.19921875" style="5" customWidth="1"/>
    <col min="7172" max="7172" width="7.59765625" style="5" customWidth="1"/>
    <col min="7173" max="7173" width="8.59765625" style="5" customWidth="1"/>
    <col min="7174" max="7174" width="8.19921875" style="5" customWidth="1"/>
    <col min="7175" max="7176" width="7" style="5" customWidth="1"/>
    <col min="7177" max="7177" width="9.796875" style="5" customWidth="1"/>
    <col min="7178" max="7178" width="7.09765625" style="5" customWidth="1"/>
    <col min="7179" max="7179" width="9.19921875" style="5" customWidth="1"/>
    <col min="7180" max="7180" width="12.19921875" style="5" customWidth="1"/>
    <col min="7181" max="7181" width="8.8984375" style="5"/>
    <col min="7182" max="7182" width="9" style="5" customWidth="1"/>
    <col min="7183" max="7183" width="10.3984375" style="5" bestFit="1" customWidth="1"/>
    <col min="7184" max="7184" width="12.296875" style="5" customWidth="1"/>
    <col min="7185" max="7185" width="22" style="5" customWidth="1"/>
    <col min="7186" max="7187" width="15.09765625" style="5" bestFit="1" customWidth="1"/>
    <col min="7188" max="7188" width="9.796875" style="5" bestFit="1" customWidth="1"/>
    <col min="7189" max="7189" width="6.09765625" style="5" customWidth="1"/>
    <col min="7190" max="7417" width="8.8984375" style="5"/>
    <col min="7418" max="7418" width="5" style="5" customWidth="1"/>
    <col min="7419" max="7419" width="3.296875" style="5" customWidth="1"/>
    <col min="7420" max="7420" width="3.69921875" style="5" customWidth="1"/>
    <col min="7421" max="7421" width="7.19921875" style="5" customWidth="1"/>
    <col min="7422" max="7422" width="7.69921875" style="5" customWidth="1"/>
    <col min="7423" max="7423" width="7.59765625" style="5" customWidth="1"/>
    <col min="7424" max="7425" width="8.3984375" style="5" customWidth="1"/>
    <col min="7426" max="7426" width="10" style="5" customWidth="1"/>
    <col min="7427" max="7427" width="8.19921875" style="5" customWidth="1"/>
    <col min="7428" max="7428" width="7.59765625" style="5" customWidth="1"/>
    <col min="7429" max="7429" width="8.59765625" style="5" customWidth="1"/>
    <col min="7430" max="7430" width="8.19921875" style="5" customWidth="1"/>
    <col min="7431" max="7432" width="7" style="5" customWidth="1"/>
    <col min="7433" max="7433" width="9.796875" style="5" customWidth="1"/>
    <col min="7434" max="7434" width="7.09765625" style="5" customWidth="1"/>
    <col min="7435" max="7435" width="9.19921875" style="5" customWidth="1"/>
    <col min="7436" max="7436" width="12.19921875" style="5" customWidth="1"/>
    <col min="7437" max="7437" width="8.8984375" style="5"/>
    <col min="7438" max="7438" width="9" style="5" customWidth="1"/>
    <col min="7439" max="7439" width="10.3984375" style="5" bestFit="1" customWidth="1"/>
    <col min="7440" max="7440" width="12.296875" style="5" customWidth="1"/>
    <col min="7441" max="7441" width="22" style="5" customWidth="1"/>
    <col min="7442" max="7443" width="15.09765625" style="5" bestFit="1" customWidth="1"/>
    <col min="7444" max="7444" width="9.796875" style="5" bestFit="1" customWidth="1"/>
    <col min="7445" max="7445" width="6.09765625" style="5" customWidth="1"/>
    <col min="7446" max="7673" width="8.8984375" style="5"/>
    <col min="7674" max="7674" width="5" style="5" customWidth="1"/>
    <col min="7675" max="7675" width="3.296875" style="5" customWidth="1"/>
    <col min="7676" max="7676" width="3.69921875" style="5" customWidth="1"/>
    <col min="7677" max="7677" width="7.19921875" style="5" customWidth="1"/>
    <col min="7678" max="7678" width="7.69921875" style="5" customWidth="1"/>
    <col min="7679" max="7679" width="7.59765625" style="5" customWidth="1"/>
    <col min="7680" max="7681" width="8.3984375" style="5" customWidth="1"/>
    <col min="7682" max="7682" width="10" style="5" customWidth="1"/>
    <col min="7683" max="7683" width="8.19921875" style="5" customWidth="1"/>
    <col min="7684" max="7684" width="7.59765625" style="5" customWidth="1"/>
    <col min="7685" max="7685" width="8.59765625" style="5" customWidth="1"/>
    <col min="7686" max="7686" width="8.19921875" style="5" customWidth="1"/>
    <col min="7687" max="7688" width="7" style="5" customWidth="1"/>
    <col min="7689" max="7689" width="9.796875" style="5" customWidth="1"/>
    <col min="7690" max="7690" width="7.09765625" style="5" customWidth="1"/>
    <col min="7691" max="7691" width="9.19921875" style="5" customWidth="1"/>
    <col min="7692" max="7692" width="12.19921875" style="5" customWidth="1"/>
    <col min="7693" max="7693" width="8.8984375" style="5"/>
    <col min="7694" max="7694" width="9" style="5" customWidth="1"/>
    <col min="7695" max="7695" width="10.3984375" style="5" bestFit="1" customWidth="1"/>
    <col min="7696" max="7696" width="12.296875" style="5" customWidth="1"/>
    <col min="7697" max="7697" width="22" style="5" customWidth="1"/>
    <col min="7698" max="7699" width="15.09765625" style="5" bestFit="1" customWidth="1"/>
    <col min="7700" max="7700" width="9.796875" style="5" bestFit="1" customWidth="1"/>
    <col min="7701" max="7701" width="6.09765625" style="5" customWidth="1"/>
    <col min="7702" max="7929" width="8.8984375" style="5"/>
    <col min="7930" max="7930" width="5" style="5" customWidth="1"/>
    <col min="7931" max="7931" width="3.296875" style="5" customWidth="1"/>
    <col min="7932" max="7932" width="3.69921875" style="5" customWidth="1"/>
    <col min="7933" max="7933" width="7.19921875" style="5" customWidth="1"/>
    <col min="7934" max="7934" width="7.69921875" style="5" customWidth="1"/>
    <col min="7935" max="7935" width="7.59765625" style="5" customWidth="1"/>
    <col min="7936" max="7937" width="8.3984375" style="5" customWidth="1"/>
    <col min="7938" max="7938" width="10" style="5" customWidth="1"/>
    <col min="7939" max="7939" width="8.19921875" style="5" customWidth="1"/>
    <col min="7940" max="7940" width="7.59765625" style="5" customWidth="1"/>
    <col min="7941" max="7941" width="8.59765625" style="5" customWidth="1"/>
    <col min="7942" max="7942" width="8.19921875" style="5" customWidth="1"/>
    <col min="7943" max="7944" width="7" style="5" customWidth="1"/>
    <col min="7945" max="7945" width="9.796875" style="5" customWidth="1"/>
    <col min="7946" max="7946" width="7.09765625" style="5" customWidth="1"/>
    <col min="7947" max="7947" width="9.19921875" style="5" customWidth="1"/>
    <col min="7948" max="7948" width="12.19921875" style="5" customWidth="1"/>
    <col min="7949" max="7949" width="8.8984375" style="5"/>
    <col min="7950" max="7950" width="9" style="5" customWidth="1"/>
    <col min="7951" max="7951" width="10.3984375" style="5" bestFit="1" customWidth="1"/>
    <col min="7952" max="7952" width="12.296875" style="5" customWidth="1"/>
    <col min="7953" max="7953" width="22" style="5" customWidth="1"/>
    <col min="7954" max="7955" width="15.09765625" style="5" bestFit="1" customWidth="1"/>
    <col min="7956" max="7956" width="9.796875" style="5" bestFit="1" customWidth="1"/>
    <col min="7957" max="7957" width="6.09765625" style="5" customWidth="1"/>
    <col min="7958" max="8185" width="8.8984375" style="5"/>
    <col min="8186" max="8186" width="5" style="5" customWidth="1"/>
    <col min="8187" max="8187" width="3.296875" style="5" customWidth="1"/>
    <col min="8188" max="8188" width="3.69921875" style="5" customWidth="1"/>
    <col min="8189" max="8189" width="7.19921875" style="5" customWidth="1"/>
    <col min="8190" max="8190" width="7.69921875" style="5" customWidth="1"/>
    <col min="8191" max="8191" width="7.59765625" style="5" customWidth="1"/>
    <col min="8192" max="8193" width="8.3984375" style="5" customWidth="1"/>
    <col min="8194" max="8194" width="10" style="5" customWidth="1"/>
    <col min="8195" max="8195" width="8.19921875" style="5" customWidth="1"/>
    <col min="8196" max="8196" width="7.59765625" style="5" customWidth="1"/>
    <col min="8197" max="8197" width="8.59765625" style="5" customWidth="1"/>
    <col min="8198" max="8198" width="8.19921875" style="5" customWidth="1"/>
    <col min="8199" max="8200" width="7" style="5" customWidth="1"/>
    <col min="8201" max="8201" width="9.796875" style="5" customWidth="1"/>
    <col min="8202" max="8202" width="7.09765625" style="5" customWidth="1"/>
    <col min="8203" max="8203" width="9.19921875" style="5" customWidth="1"/>
    <col min="8204" max="8204" width="12.19921875" style="5" customWidth="1"/>
    <col min="8205" max="8205" width="8.8984375" style="5"/>
    <col min="8206" max="8206" width="9" style="5" customWidth="1"/>
    <col min="8207" max="8207" width="10.3984375" style="5" bestFit="1" customWidth="1"/>
    <col min="8208" max="8208" width="12.296875" style="5" customWidth="1"/>
    <col min="8209" max="8209" width="22" style="5" customWidth="1"/>
    <col min="8210" max="8211" width="15.09765625" style="5" bestFit="1" customWidth="1"/>
    <col min="8212" max="8212" width="9.796875" style="5" bestFit="1" customWidth="1"/>
    <col min="8213" max="8213" width="6.09765625" style="5" customWidth="1"/>
    <col min="8214" max="8441" width="8.8984375" style="5"/>
    <col min="8442" max="8442" width="5" style="5" customWidth="1"/>
    <col min="8443" max="8443" width="3.296875" style="5" customWidth="1"/>
    <col min="8444" max="8444" width="3.69921875" style="5" customWidth="1"/>
    <col min="8445" max="8445" width="7.19921875" style="5" customWidth="1"/>
    <col min="8446" max="8446" width="7.69921875" style="5" customWidth="1"/>
    <col min="8447" max="8447" width="7.59765625" style="5" customWidth="1"/>
    <col min="8448" max="8449" width="8.3984375" style="5" customWidth="1"/>
    <col min="8450" max="8450" width="10" style="5" customWidth="1"/>
    <col min="8451" max="8451" width="8.19921875" style="5" customWidth="1"/>
    <col min="8452" max="8452" width="7.59765625" style="5" customWidth="1"/>
    <col min="8453" max="8453" width="8.59765625" style="5" customWidth="1"/>
    <col min="8454" max="8454" width="8.19921875" style="5" customWidth="1"/>
    <col min="8455" max="8456" width="7" style="5" customWidth="1"/>
    <col min="8457" max="8457" width="9.796875" style="5" customWidth="1"/>
    <col min="8458" max="8458" width="7.09765625" style="5" customWidth="1"/>
    <col min="8459" max="8459" width="9.19921875" style="5" customWidth="1"/>
    <col min="8460" max="8460" width="12.19921875" style="5" customWidth="1"/>
    <col min="8461" max="8461" width="8.8984375" style="5"/>
    <col min="8462" max="8462" width="9" style="5" customWidth="1"/>
    <col min="8463" max="8463" width="10.3984375" style="5" bestFit="1" customWidth="1"/>
    <col min="8464" max="8464" width="12.296875" style="5" customWidth="1"/>
    <col min="8465" max="8465" width="22" style="5" customWidth="1"/>
    <col min="8466" max="8467" width="15.09765625" style="5" bestFit="1" customWidth="1"/>
    <col min="8468" max="8468" width="9.796875" style="5" bestFit="1" customWidth="1"/>
    <col min="8469" max="8469" width="6.09765625" style="5" customWidth="1"/>
    <col min="8470" max="8697" width="8.8984375" style="5"/>
    <col min="8698" max="8698" width="5" style="5" customWidth="1"/>
    <col min="8699" max="8699" width="3.296875" style="5" customWidth="1"/>
    <col min="8700" max="8700" width="3.69921875" style="5" customWidth="1"/>
    <col min="8701" max="8701" width="7.19921875" style="5" customWidth="1"/>
    <col min="8702" max="8702" width="7.69921875" style="5" customWidth="1"/>
    <col min="8703" max="8703" width="7.59765625" style="5" customWidth="1"/>
    <col min="8704" max="8705" width="8.3984375" style="5" customWidth="1"/>
    <col min="8706" max="8706" width="10" style="5" customWidth="1"/>
    <col min="8707" max="8707" width="8.19921875" style="5" customWidth="1"/>
    <col min="8708" max="8708" width="7.59765625" style="5" customWidth="1"/>
    <col min="8709" max="8709" width="8.59765625" style="5" customWidth="1"/>
    <col min="8710" max="8710" width="8.19921875" style="5" customWidth="1"/>
    <col min="8711" max="8712" width="7" style="5" customWidth="1"/>
    <col min="8713" max="8713" width="9.796875" style="5" customWidth="1"/>
    <col min="8714" max="8714" width="7.09765625" style="5" customWidth="1"/>
    <col min="8715" max="8715" width="9.19921875" style="5" customWidth="1"/>
    <col min="8716" max="8716" width="12.19921875" style="5" customWidth="1"/>
    <col min="8717" max="8717" width="8.8984375" style="5"/>
    <col min="8718" max="8718" width="9" style="5" customWidth="1"/>
    <col min="8719" max="8719" width="10.3984375" style="5" bestFit="1" customWidth="1"/>
    <col min="8720" max="8720" width="12.296875" style="5" customWidth="1"/>
    <col min="8721" max="8721" width="22" style="5" customWidth="1"/>
    <col min="8722" max="8723" width="15.09765625" style="5" bestFit="1" customWidth="1"/>
    <col min="8724" max="8724" width="9.796875" style="5" bestFit="1" customWidth="1"/>
    <col min="8725" max="8725" width="6.09765625" style="5" customWidth="1"/>
    <col min="8726" max="8953" width="8.8984375" style="5"/>
    <col min="8954" max="8954" width="5" style="5" customWidth="1"/>
    <col min="8955" max="8955" width="3.296875" style="5" customWidth="1"/>
    <col min="8956" max="8956" width="3.69921875" style="5" customWidth="1"/>
    <col min="8957" max="8957" width="7.19921875" style="5" customWidth="1"/>
    <col min="8958" max="8958" width="7.69921875" style="5" customWidth="1"/>
    <col min="8959" max="8959" width="7.59765625" style="5" customWidth="1"/>
    <col min="8960" max="8961" width="8.3984375" style="5" customWidth="1"/>
    <col min="8962" max="8962" width="10" style="5" customWidth="1"/>
    <col min="8963" max="8963" width="8.19921875" style="5" customWidth="1"/>
    <col min="8964" max="8964" width="7.59765625" style="5" customWidth="1"/>
    <col min="8965" max="8965" width="8.59765625" style="5" customWidth="1"/>
    <col min="8966" max="8966" width="8.19921875" style="5" customWidth="1"/>
    <col min="8967" max="8968" width="7" style="5" customWidth="1"/>
    <col min="8969" max="8969" width="9.796875" style="5" customWidth="1"/>
    <col min="8970" max="8970" width="7.09765625" style="5" customWidth="1"/>
    <col min="8971" max="8971" width="9.19921875" style="5" customWidth="1"/>
    <col min="8972" max="8972" width="12.19921875" style="5" customWidth="1"/>
    <col min="8973" max="8973" width="8.8984375" style="5"/>
    <col min="8974" max="8974" width="9" style="5" customWidth="1"/>
    <col min="8975" max="8975" width="10.3984375" style="5" bestFit="1" customWidth="1"/>
    <col min="8976" max="8976" width="12.296875" style="5" customWidth="1"/>
    <col min="8977" max="8977" width="22" style="5" customWidth="1"/>
    <col min="8978" max="8979" width="15.09765625" style="5" bestFit="1" customWidth="1"/>
    <col min="8980" max="8980" width="9.796875" style="5" bestFit="1" customWidth="1"/>
    <col min="8981" max="8981" width="6.09765625" style="5" customWidth="1"/>
    <col min="8982" max="9209" width="8.8984375" style="5"/>
    <col min="9210" max="9210" width="5" style="5" customWidth="1"/>
    <col min="9211" max="9211" width="3.296875" style="5" customWidth="1"/>
    <col min="9212" max="9212" width="3.69921875" style="5" customWidth="1"/>
    <col min="9213" max="9213" width="7.19921875" style="5" customWidth="1"/>
    <col min="9214" max="9214" width="7.69921875" style="5" customWidth="1"/>
    <col min="9215" max="9215" width="7.59765625" style="5" customWidth="1"/>
    <col min="9216" max="9217" width="8.3984375" style="5" customWidth="1"/>
    <col min="9218" max="9218" width="10" style="5" customWidth="1"/>
    <col min="9219" max="9219" width="8.19921875" style="5" customWidth="1"/>
    <col min="9220" max="9220" width="7.59765625" style="5" customWidth="1"/>
    <col min="9221" max="9221" width="8.59765625" style="5" customWidth="1"/>
    <col min="9222" max="9222" width="8.19921875" style="5" customWidth="1"/>
    <col min="9223" max="9224" width="7" style="5" customWidth="1"/>
    <col min="9225" max="9225" width="9.796875" style="5" customWidth="1"/>
    <col min="9226" max="9226" width="7.09765625" style="5" customWidth="1"/>
    <col min="9227" max="9227" width="9.19921875" style="5" customWidth="1"/>
    <col min="9228" max="9228" width="12.19921875" style="5" customWidth="1"/>
    <col min="9229" max="9229" width="8.8984375" style="5"/>
    <col min="9230" max="9230" width="9" style="5" customWidth="1"/>
    <col min="9231" max="9231" width="10.3984375" style="5" bestFit="1" customWidth="1"/>
    <col min="9232" max="9232" width="12.296875" style="5" customWidth="1"/>
    <col min="9233" max="9233" width="22" style="5" customWidth="1"/>
    <col min="9234" max="9235" width="15.09765625" style="5" bestFit="1" customWidth="1"/>
    <col min="9236" max="9236" width="9.796875" style="5" bestFit="1" customWidth="1"/>
    <col min="9237" max="9237" width="6.09765625" style="5" customWidth="1"/>
    <col min="9238" max="9465" width="8.8984375" style="5"/>
    <col min="9466" max="9466" width="5" style="5" customWidth="1"/>
    <col min="9467" max="9467" width="3.296875" style="5" customWidth="1"/>
    <col min="9468" max="9468" width="3.69921875" style="5" customWidth="1"/>
    <col min="9469" max="9469" width="7.19921875" style="5" customWidth="1"/>
    <col min="9470" max="9470" width="7.69921875" style="5" customWidth="1"/>
    <col min="9471" max="9471" width="7.59765625" style="5" customWidth="1"/>
    <col min="9472" max="9473" width="8.3984375" style="5" customWidth="1"/>
    <col min="9474" max="9474" width="10" style="5" customWidth="1"/>
    <col min="9475" max="9475" width="8.19921875" style="5" customWidth="1"/>
    <col min="9476" max="9476" width="7.59765625" style="5" customWidth="1"/>
    <col min="9477" max="9477" width="8.59765625" style="5" customWidth="1"/>
    <col min="9478" max="9478" width="8.19921875" style="5" customWidth="1"/>
    <col min="9479" max="9480" width="7" style="5" customWidth="1"/>
    <col min="9481" max="9481" width="9.796875" style="5" customWidth="1"/>
    <col min="9482" max="9482" width="7.09765625" style="5" customWidth="1"/>
    <col min="9483" max="9483" width="9.19921875" style="5" customWidth="1"/>
    <col min="9484" max="9484" width="12.19921875" style="5" customWidth="1"/>
    <col min="9485" max="9485" width="8.8984375" style="5"/>
    <col min="9486" max="9486" width="9" style="5" customWidth="1"/>
    <col min="9487" max="9487" width="10.3984375" style="5" bestFit="1" customWidth="1"/>
    <col min="9488" max="9488" width="12.296875" style="5" customWidth="1"/>
    <col min="9489" max="9489" width="22" style="5" customWidth="1"/>
    <col min="9490" max="9491" width="15.09765625" style="5" bestFit="1" customWidth="1"/>
    <col min="9492" max="9492" width="9.796875" style="5" bestFit="1" customWidth="1"/>
    <col min="9493" max="9493" width="6.09765625" style="5" customWidth="1"/>
    <col min="9494" max="9721" width="8.8984375" style="5"/>
    <col min="9722" max="9722" width="5" style="5" customWidth="1"/>
    <col min="9723" max="9723" width="3.296875" style="5" customWidth="1"/>
    <col min="9724" max="9724" width="3.69921875" style="5" customWidth="1"/>
    <col min="9725" max="9725" width="7.19921875" style="5" customWidth="1"/>
    <col min="9726" max="9726" width="7.69921875" style="5" customWidth="1"/>
    <col min="9727" max="9727" width="7.59765625" style="5" customWidth="1"/>
    <col min="9728" max="9729" width="8.3984375" style="5" customWidth="1"/>
    <col min="9730" max="9730" width="10" style="5" customWidth="1"/>
    <col min="9731" max="9731" width="8.19921875" style="5" customWidth="1"/>
    <col min="9732" max="9732" width="7.59765625" style="5" customWidth="1"/>
    <col min="9733" max="9733" width="8.59765625" style="5" customWidth="1"/>
    <col min="9734" max="9734" width="8.19921875" style="5" customWidth="1"/>
    <col min="9735" max="9736" width="7" style="5" customWidth="1"/>
    <col min="9737" max="9737" width="9.796875" style="5" customWidth="1"/>
    <col min="9738" max="9738" width="7.09765625" style="5" customWidth="1"/>
    <col min="9739" max="9739" width="9.19921875" style="5" customWidth="1"/>
    <col min="9740" max="9740" width="12.19921875" style="5" customWidth="1"/>
    <col min="9741" max="9741" width="8.8984375" style="5"/>
    <col min="9742" max="9742" width="9" style="5" customWidth="1"/>
    <col min="9743" max="9743" width="10.3984375" style="5" bestFit="1" customWidth="1"/>
    <col min="9744" max="9744" width="12.296875" style="5" customWidth="1"/>
    <col min="9745" max="9745" width="22" style="5" customWidth="1"/>
    <col min="9746" max="9747" width="15.09765625" style="5" bestFit="1" customWidth="1"/>
    <col min="9748" max="9748" width="9.796875" style="5" bestFit="1" customWidth="1"/>
    <col min="9749" max="9749" width="6.09765625" style="5" customWidth="1"/>
    <col min="9750" max="9977" width="8.8984375" style="5"/>
    <col min="9978" max="9978" width="5" style="5" customWidth="1"/>
    <col min="9979" max="9979" width="3.296875" style="5" customWidth="1"/>
    <col min="9980" max="9980" width="3.69921875" style="5" customWidth="1"/>
    <col min="9981" max="9981" width="7.19921875" style="5" customWidth="1"/>
    <col min="9982" max="9982" width="7.69921875" style="5" customWidth="1"/>
    <col min="9983" max="9983" width="7.59765625" style="5" customWidth="1"/>
    <col min="9984" max="9985" width="8.3984375" style="5" customWidth="1"/>
    <col min="9986" max="9986" width="10" style="5" customWidth="1"/>
    <col min="9987" max="9987" width="8.19921875" style="5" customWidth="1"/>
    <col min="9988" max="9988" width="7.59765625" style="5" customWidth="1"/>
    <col min="9989" max="9989" width="8.59765625" style="5" customWidth="1"/>
    <col min="9990" max="9990" width="8.19921875" style="5" customWidth="1"/>
    <col min="9991" max="9992" width="7" style="5" customWidth="1"/>
    <col min="9993" max="9993" width="9.796875" style="5" customWidth="1"/>
    <col min="9994" max="9994" width="7.09765625" style="5" customWidth="1"/>
    <col min="9995" max="9995" width="9.19921875" style="5" customWidth="1"/>
    <col min="9996" max="9996" width="12.19921875" style="5" customWidth="1"/>
    <col min="9997" max="9997" width="8.8984375" style="5"/>
    <col min="9998" max="9998" width="9" style="5" customWidth="1"/>
    <col min="9999" max="9999" width="10.3984375" style="5" bestFit="1" customWidth="1"/>
    <col min="10000" max="10000" width="12.296875" style="5" customWidth="1"/>
    <col min="10001" max="10001" width="22" style="5" customWidth="1"/>
    <col min="10002" max="10003" width="15.09765625" style="5" bestFit="1" customWidth="1"/>
    <col min="10004" max="10004" width="9.796875" style="5" bestFit="1" customWidth="1"/>
    <col min="10005" max="10005" width="6.09765625" style="5" customWidth="1"/>
    <col min="10006" max="10233" width="8.8984375" style="5"/>
    <col min="10234" max="10234" width="5" style="5" customWidth="1"/>
    <col min="10235" max="10235" width="3.296875" style="5" customWidth="1"/>
    <col min="10236" max="10236" width="3.69921875" style="5" customWidth="1"/>
    <col min="10237" max="10237" width="7.19921875" style="5" customWidth="1"/>
    <col min="10238" max="10238" width="7.69921875" style="5" customWidth="1"/>
    <col min="10239" max="10239" width="7.59765625" style="5" customWidth="1"/>
    <col min="10240" max="10241" width="8.3984375" style="5" customWidth="1"/>
    <col min="10242" max="10242" width="10" style="5" customWidth="1"/>
    <col min="10243" max="10243" width="8.19921875" style="5" customWidth="1"/>
    <col min="10244" max="10244" width="7.59765625" style="5" customWidth="1"/>
    <col min="10245" max="10245" width="8.59765625" style="5" customWidth="1"/>
    <col min="10246" max="10246" width="8.19921875" style="5" customWidth="1"/>
    <col min="10247" max="10248" width="7" style="5" customWidth="1"/>
    <col min="10249" max="10249" width="9.796875" style="5" customWidth="1"/>
    <col min="10250" max="10250" width="7.09765625" style="5" customWidth="1"/>
    <col min="10251" max="10251" width="9.19921875" style="5" customWidth="1"/>
    <col min="10252" max="10252" width="12.19921875" style="5" customWidth="1"/>
    <col min="10253" max="10253" width="8.8984375" style="5"/>
    <col min="10254" max="10254" width="9" style="5" customWidth="1"/>
    <col min="10255" max="10255" width="10.3984375" style="5" bestFit="1" customWidth="1"/>
    <col min="10256" max="10256" width="12.296875" style="5" customWidth="1"/>
    <col min="10257" max="10257" width="22" style="5" customWidth="1"/>
    <col min="10258" max="10259" width="15.09765625" style="5" bestFit="1" customWidth="1"/>
    <col min="10260" max="10260" width="9.796875" style="5" bestFit="1" customWidth="1"/>
    <col min="10261" max="10261" width="6.09765625" style="5" customWidth="1"/>
    <col min="10262" max="10489" width="8.8984375" style="5"/>
    <col min="10490" max="10490" width="5" style="5" customWidth="1"/>
    <col min="10491" max="10491" width="3.296875" style="5" customWidth="1"/>
    <col min="10492" max="10492" width="3.69921875" style="5" customWidth="1"/>
    <col min="10493" max="10493" width="7.19921875" style="5" customWidth="1"/>
    <col min="10494" max="10494" width="7.69921875" style="5" customWidth="1"/>
    <col min="10495" max="10495" width="7.59765625" style="5" customWidth="1"/>
    <col min="10496" max="10497" width="8.3984375" style="5" customWidth="1"/>
    <col min="10498" max="10498" width="10" style="5" customWidth="1"/>
    <col min="10499" max="10499" width="8.19921875" style="5" customWidth="1"/>
    <col min="10500" max="10500" width="7.59765625" style="5" customWidth="1"/>
    <col min="10501" max="10501" width="8.59765625" style="5" customWidth="1"/>
    <col min="10502" max="10502" width="8.19921875" style="5" customWidth="1"/>
    <col min="10503" max="10504" width="7" style="5" customWidth="1"/>
    <col min="10505" max="10505" width="9.796875" style="5" customWidth="1"/>
    <col min="10506" max="10506" width="7.09765625" style="5" customWidth="1"/>
    <col min="10507" max="10507" width="9.19921875" style="5" customWidth="1"/>
    <col min="10508" max="10508" width="12.19921875" style="5" customWidth="1"/>
    <col min="10509" max="10509" width="8.8984375" style="5"/>
    <col min="10510" max="10510" width="9" style="5" customWidth="1"/>
    <col min="10511" max="10511" width="10.3984375" style="5" bestFit="1" customWidth="1"/>
    <col min="10512" max="10512" width="12.296875" style="5" customWidth="1"/>
    <col min="10513" max="10513" width="22" style="5" customWidth="1"/>
    <col min="10514" max="10515" width="15.09765625" style="5" bestFit="1" customWidth="1"/>
    <col min="10516" max="10516" width="9.796875" style="5" bestFit="1" customWidth="1"/>
    <col min="10517" max="10517" width="6.09765625" style="5" customWidth="1"/>
    <col min="10518" max="10745" width="8.8984375" style="5"/>
    <col min="10746" max="10746" width="5" style="5" customWidth="1"/>
    <col min="10747" max="10747" width="3.296875" style="5" customWidth="1"/>
    <col min="10748" max="10748" width="3.69921875" style="5" customWidth="1"/>
    <col min="10749" max="10749" width="7.19921875" style="5" customWidth="1"/>
    <col min="10750" max="10750" width="7.69921875" style="5" customWidth="1"/>
    <col min="10751" max="10751" width="7.59765625" style="5" customWidth="1"/>
    <col min="10752" max="10753" width="8.3984375" style="5" customWidth="1"/>
    <col min="10754" max="10754" width="10" style="5" customWidth="1"/>
    <col min="10755" max="10755" width="8.19921875" style="5" customWidth="1"/>
    <col min="10756" max="10756" width="7.59765625" style="5" customWidth="1"/>
    <col min="10757" max="10757" width="8.59765625" style="5" customWidth="1"/>
    <col min="10758" max="10758" width="8.19921875" style="5" customWidth="1"/>
    <col min="10759" max="10760" width="7" style="5" customWidth="1"/>
    <col min="10761" max="10761" width="9.796875" style="5" customWidth="1"/>
    <col min="10762" max="10762" width="7.09765625" style="5" customWidth="1"/>
    <col min="10763" max="10763" width="9.19921875" style="5" customWidth="1"/>
    <col min="10764" max="10764" width="12.19921875" style="5" customWidth="1"/>
    <col min="10765" max="10765" width="8.8984375" style="5"/>
    <col min="10766" max="10766" width="9" style="5" customWidth="1"/>
    <col min="10767" max="10767" width="10.3984375" style="5" bestFit="1" customWidth="1"/>
    <col min="10768" max="10768" width="12.296875" style="5" customWidth="1"/>
    <col min="10769" max="10769" width="22" style="5" customWidth="1"/>
    <col min="10770" max="10771" width="15.09765625" style="5" bestFit="1" customWidth="1"/>
    <col min="10772" max="10772" width="9.796875" style="5" bestFit="1" customWidth="1"/>
    <col min="10773" max="10773" width="6.09765625" style="5" customWidth="1"/>
    <col min="10774" max="11001" width="8.8984375" style="5"/>
    <col min="11002" max="11002" width="5" style="5" customWidth="1"/>
    <col min="11003" max="11003" width="3.296875" style="5" customWidth="1"/>
    <col min="11004" max="11004" width="3.69921875" style="5" customWidth="1"/>
    <col min="11005" max="11005" width="7.19921875" style="5" customWidth="1"/>
    <col min="11006" max="11006" width="7.69921875" style="5" customWidth="1"/>
    <col min="11007" max="11007" width="7.59765625" style="5" customWidth="1"/>
    <col min="11008" max="11009" width="8.3984375" style="5" customWidth="1"/>
    <col min="11010" max="11010" width="10" style="5" customWidth="1"/>
    <col min="11011" max="11011" width="8.19921875" style="5" customWidth="1"/>
    <col min="11012" max="11012" width="7.59765625" style="5" customWidth="1"/>
    <col min="11013" max="11013" width="8.59765625" style="5" customWidth="1"/>
    <col min="11014" max="11014" width="8.19921875" style="5" customWidth="1"/>
    <col min="11015" max="11016" width="7" style="5" customWidth="1"/>
    <col min="11017" max="11017" width="9.796875" style="5" customWidth="1"/>
    <col min="11018" max="11018" width="7.09765625" style="5" customWidth="1"/>
    <col min="11019" max="11019" width="9.19921875" style="5" customWidth="1"/>
    <col min="11020" max="11020" width="12.19921875" style="5" customWidth="1"/>
    <col min="11021" max="11021" width="8.8984375" style="5"/>
    <col min="11022" max="11022" width="9" style="5" customWidth="1"/>
    <col min="11023" max="11023" width="10.3984375" style="5" bestFit="1" customWidth="1"/>
    <col min="11024" max="11024" width="12.296875" style="5" customWidth="1"/>
    <col min="11025" max="11025" width="22" style="5" customWidth="1"/>
    <col min="11026" max="11027" width="15.09765625" style="5" bestFit="1" customWidth="1"/>
    <col min="11028" max="11028" width="9.796875" style="5" bestFit="1" customWidth="1"/>
    <col min="11029" max="11029" width="6.09765625" style="5" customWidth="1"/>
    <col min="11030" max="11257" width="8.8984375" style="5"/>
    <col min="11258" max="11258" width="5" style="5" customWidth="1"/>
    <col min="11259" max="11259" width="3.296875" style="5" customWidth="1"/>
    <col min="11260" max="11260" width="3.69921875" style="5" customWidth="1"/>
    <col min="11261" max="11261" width="7.19921875" style="5" customWidth="1"/>
    <col min="11262" max="11262" width="7.69921875" style="5" customWidth="1"/>
    <col min="11263" max="11263" width="7.59765625" style="5" customWidth="1"/>
    <col min="11264" max="11265" width="8.3984375" style="5" customWidth="1"/>
    <col min="11266" max="11266" width="10" style="5" customWidth="1"/>
    <col min="11267" max="11267" width="8.19921875" style="5" customWidth="1"/>
    <col min="11268" max="11268" width="7.59765625" style="5" customWidth="1"/>
    <col min="11269" max="11269" width="8.59765625" style="5" customWidth="1"/>
    <col min="11270" max="11270" width="8.19921875" style="5" customWidth="1"/>
    <col min="11271" max="11272" width="7" style="5" customWidth="1"/>
    <col min="11273" max="11273" width="9.796875" style="5" customWidth="1"/>
    <col min="11274" max="11274" width="7.09765625" style="5" customWidth="1"/>
    <col min="11275" max="11275" width="9.19921875" style="5" customWidth="1"/>
    <col min="11276" max="11276" width="12.19921875" style="5" customWidth="1"/>
    <col min="11277" max="11277" width="8.8984375" style="5"/>
    <col min="11278" max="11278" width="9" style="5" customWidth="1"/>
    <col min="11279" max="11279" width="10.3984375" style="5" bestFit="1" customWidth="1"/>
    <col min="11280" max="11280" width="12.296875" style="5" customWidth="1"/>
    <col min="11281" max="11281" width="22" style="5" customWidth="1"/>
    <col min="11282" max="11283" width="15.09765625" style="5" bestFit="1" customWidth="1"/>
    <col min="11284" max="11284" width="9.796875" style="5" bestFit="1" customWidth="1"/>
    <col min="11285" max="11285" width="6.09765625" style="5" customWidth="1"/>
    <col min="11286" max="11513" width="8.8984375" style="5"/>
    <col min="11514" max="11514" width="5" style="5" customWidth="1"/>
    <col min="11515" max="11515" width="3.296875" style="5" customWidth="1"/>
    <col min="11516" max="11516" width="3.69921875" style="5" customWidth="1"/>
    <col min="11517" max="11517" width="7.19921875" style="5" customWidth="1"/>
    <col min="11518" max="11518" width="7.69921875" style="5" customWidth="1"/>
    <col min="11519" max="11519" width="7.59765625" style="5" customWidth="1"/>
    <col min="11520" max="11521" width="8.3984375" style="5" customWidth="1"/>
    <col min="11522" max="11522" width="10" style="5" customWidth="1"/>
    <col min="11523" max="11523" width="8.19921875" style="5" customWidth="1"/>
    <col min="11524" max="11524" width="7.59765625" style="5" customWidth="1"/>
    <col min="11525" max="11525" width="8.59765625" style="5" customWidth="1"/>
    <col min="11526" max="11526" width="8.19921875" style="5" customWidth="1"/>
    <col min="11527" max="11528" width="7" style="5" customWidth="1"/>
    <col min="11529" max="11529" width="9.796875" style="5" customWidth="1"/>
    <col min="11530" max="11530" width="7.09765625" style="5" customWidth="1"/>
    <col min="11531" max="11531" width="9.19921875" style="5" customWidth="1"/>
    <col min="11532" max="11532" width="12.19921875" style="5" customWidth="1"/>
    <col min="11533" max="11533" width="8.8984375" style="5"/>
    <col min="11534" max="11534" width="9" style="5" customWidth="1"/>
    <col min="11535" max="11535" width="10.3984375" style="5" bestFit="1" customWidth="1"/>
    <col min="11536" max="11536" width="12.296875" style="5" customWidth="1"/>
    <col min="11537" max="11537" width="22" style="5" customWidth="1"/>
    <col min="11538" max="11539" width="15.09765625" style="5" bestFit="1" customWidth="1"/>
    <col min="11540" max="11540" width="9.796875" style="5" bestFit="1" customWidth="1"/>
    <col min="11541" max="11541" width="6.09765625" style="5" customWidth="1"/>
    <col min="11542" max="11769" width="8.8984375" style="5"/>
    <col min="11770" max="11770" width="5" style="5" customWidth="1"/>
    <col min="11771" max="11771" width="3.296875" style="5" customWidth="1"/>
    <col min="11772" max="11772" width="3.69921875" style="5" customWidth="1"/>
    <col min="11773" max="11773" width="7.19921875" style="5" customWidth="1"/>
    <col min="11774" max="11774" width="7.69921875" style="5" customWidth="1"/>
    <col min="11775" max="11775" width="7.59765625" style="5" customWidth="1"/>
    <col min="11776" max="11777" width="8.3984375" style="5" customWidth="1"/>
    <col min="11778" max="11778" width="10" style="5" customWidth="1"/>
    <col min="11779" max="11779" width="8.19921875" style="5" customWidth="1"/>
    <col min="11780" max="11780" width="7.59765625" style="5" customWidth="1"/>
    <col min="11781" max="11781" width="8.59765625" style="5" customWidth="1"/>
    <col min="11782" max="11782" width="8.19921875" style="5" customWidth="1"/>
    <col min="11783" max="11784" width="7" style="5" customWidth="1"/>
    <col min="11785" max="11785" width="9.796875" style="5" customWidth="1"/>
    <col min="11786" max="11786" width="7.09765625" style="5" customWidth="1"/>
    <col min="11787" max="11787" width="9.19921875" style="5" customWidth="1"/>
    <col min="11788" max="11788" width="12.19921875" style="5" customWidth="1"/>
    <col min="11789" max="11789" width="8.8984375" style="5"/>
    <col min="11790" max="11790" width="9" style="5" customWidth="1"/>
    <col min="11791" max="11791" width="10.3984375" style="5" bestFit="1" customWidth="1"/>
    <col min="11792" max="11792" width="12.296875" style="5" customWidth="1"/>
    <col min="11793" max="11793" width="22" style="5" customWidth="1"/>
    <col min="11794" max="11795" width="15.09765625" style="5" bestFit="1" customWidth="1"/>
    <col min="11796" max="11796" width="9.796875" style="5" bestFit="1" customWidth="1"/>
    <col min="11797" max="11797" width="6.09765625" style="5" customWidth="1"/>
    <col min="11798" max="12025" width="8.8984375" style="5"/>
    <col min="12026" max="12026" width="5" style="5" customWidth="1"/>
    <col min="12027" max="12027" width="3.296875" style="5" customWidth="1"/>
    <col min="12028" max="12028" width="3.69921875" style="5" customWidth="1"/>
    <col min="12029" max="12029" width="7.19921875" style="5" customWidth="1"/>
    <col min="12030" max="12030" width="7.69921875" style="5" customWidth="1"/>
    <col min="12031" max="12031" width="7.59765625" style="5" customWidth="1"/>
    <col min="12032" max="12033" width="8.3984375" style="5" customWidth="1"/>
    <col min="12034" max="12034" width="10" style="5" customWidth="1"/>
    <col min="12035" max="12035" width="8.19921875" style="5" customWidth="1"/>
    <col min="12036" max="12036" width="7.59765625" style="5" customWidth="1"/>
    <col min="12037" max="12037" width="8.59765625" style="5" customWidth="1"/>
    <col min="12038" max="12038" width="8.19921875" style="5" customWidth="1"/>
    <col min="12039" max="12040" width="7" style="5" customWidth="1"/>
    <col min="12041" max="12041" width="9.796875" style="5" customWidth="1"/>
    <col min="12042" max="12042" width="7.09765625" style="5" customWidth="1"/>
    <col min="12043" max="12043" width="9.19921875" style="5" customWidth="1"/>
    <col min="12044" max="12044" width="12.19921875" style="5" customWidth="1"/>
    <col min="12045" max="12045" width="8.8984375" style="5"/>
    <col min="12046" max="12046" width="9" style="5" customWidth="1"/>
    <col min="12047" max="12047" width="10.3984375" style="5" bestFit="1" customWidth="1"/>
    <col min="12048" max="12048" width="12.296875" style="5" customWidth="1"/>
    <col min="12049" max="12049" width="22" style="5" customWidth="1"/>
    <col min="12050" max="12051" width="15.09765625" style="5" bestFit="1" customWidth="1"/>
    <col min="12052" max="12052" width="9.796875" style="5" bestFit="1" customWidth="1"/>
    <col min="12053" max="12053" width="6.09765625" style="5" customWidth="1"/>
    <col min="12054" max="12281" width="8.8984375" style="5"/>
    <col min="12282" max="12282" width="5" style="5" customWidth="1"/>
    <col min="12283" max="12283" width="3.296875" style="5" customWidth="1"/>
    <col min="12284" max="12284" width="3.69921875" style="5" customWidth="1"/>
    <col min="12285" max="12285" width="7.19921875" style="5" customWidth="1"/>
    <col min="12286" max="12286" width="7.69921875" style="5" customWidth="1"/>
    <col min="12287" max="12287" width="7.59765625" style="5" customWidth="1"/>
    <col min="12288" max="12289" width="8.3984375" style="5" customWidth="1"/>
    <col min="12290" max="12290" width="10" style="5" customWidth="1"/>
    <col min="12291" max="12291" width="8.19921875" style="5" customWidth="1"/>
    <col min="12292" max="12292" width="7.59765625" style="5" customWidth="1"/>
    <col min="12293" max="12293" width="8.59765625" style="5" customWidth="1"/>
    <col min="12294" max="12294" width="8.19921875" style="5" customWidth="1"/>
    <col min="12295" max="12296" width="7" style="5" customWidth="1"/>
    <col min="12297" max="12297" width="9.796875" style="5" customWidth="1"/>
    <col min="12298" max="12298" width="7.09765625" style="5" customWidth="1"/>
    <col min="12299" max="12299" width="9.19921875" style="5" customWidth="1"/>
    <col min="12300" max="12300" width="12.19921875" style="5" customWidth="1"/>
    <col min="12301" max="12301" width="8.8984375" style="5"/>
    <col min="12302" max="12302" width="9" style="5" customWidth="1"/>
    <col min="12303" max="12303" width="10.3984375" style="5" bestFit="1" customWidth="1"/>
    <col min="12304" max="12304" width="12.296875" style="5" customWidth="1"/>
    <col min="12305" max="12305" width="22" style="5" customWidth="1"/>
    <col min="12306" max="12307" width="15.09765625" style="5" bestFit="1" customWidth="1"/>
    <col min="12308" max="12308" width="9.796875" style="5" bestFit="1" customWidth="1"/>
    <col min="12309" max="12309" width="6.09765625" style="5" customWidth="1"/>
    <col min="12310" max="12537" width="8.8984375" style="5"/>
    <col min="12538" max="12538" width="5" style="5" customWidth="1"/>
    <col min="12539" max="12539" width="3.296875" style="5" customWidth="1"/>
    <col min="12540" max="12540" width="3.69921875" style="5" customWidth="1"/>
    <col min="12541" max="12541" width="7.19921875" style="5" customWidth="1"/>
    <col min="12542" max="12542" width="7.69921875" style="5" customWidth="1"/>
    <col min="12543" max="12543" width="7.59765625" style="5" customWidth="1"/>
    <col min="12544" max="12545" width="8.3984375" style="5" customWidth="1"/>
    <col min="12546" max="12546" width="10" style="5" customWidth="1"/>
    <col min="12547" max="12547" width="8.19921875" style="5" customWidth="1"/>
    <col min="12548" max="12548" width="7.59765625" style="5" customWidth="1"/>
    <col min="12549" max="12549" width="8.59765625" style="5" customWidth="1"/>
    <col min="12550" max="12550" width="8.19921875" style="5" customWidth="1"/>
    <col min="12551" max="12552" width="7" style="5" customWidth="1"/>
    <col min="12553" max="12553" width="9.796875" style="5" customWidth="1"/>
    <col min="12554" max="12554" width="7.09765625" style="5" customWidth="1"/>
    <col min="12555" max="12555" width="9.19921875" style="5" customWidth="1"/>
    <col min="12556" max="12556" width="12.19921875" style="5" customWidth="1"/>
    <col min="12557" max="12557" width="8.8984375" style="5"/>
    <col min="12558" max="12558" width="9" style="5" customWidth="1"/>
    <col min="12559" max="12559" width="10.3984375" style="5" bestFit="1" customWidth="1"/>
    <col min="12560" max="12560" width="12.296875" style="5" customWidth="1"/>
    <col min="12561" max="12561" width="22" style="5" customWidth="1"/>
    <col min="12562" max="12563" width="15.09765625" style="5" bestFit="1" customWidth="1"/>
    <col min="12564" max="12564" width="9.796875" style="5" bestFit="1" customWidth="1"/>
    <col min="12565" max="12565" width="6.09765625" style="5" customWidth="1"/>
    <col min="12566" max="12793" width="8.8984375" style="5"/>
    <col min="12794" max="12794" width="5" style="5" customWidth="1"/>
    <col min="12795" max="12795" width="3.296875" style="5" customWidth="1"/>
    <col min="12796" max="12796" width="3.69921875" style="5" customWidth="1"/>
    <col min="12797" max="12797" width="7.19921875" style="5" customWidth="1"/>
    <col min="12798" max="12798" width="7.69921875" style="5" customWidth="1"/>
    <col min="12799" max="12799" width="7.59765625" style="5" customWidth="1"/>
    <col min="12800" max="12801" width="8.3984375" style="5" customWidth="1"/>
    <col min="12802" max="12802" width="10" style="5" customWidth="1"/>
    <col min="12803" max="12803" width="8.19921875" style="5" customWidth="1"/>
    <col min="12804" max="12804" width="7.59765625" style="5" customWidth="1"/>
    <col min="12805" max="12805" width="8.59765625" style="5" customWidth="1"/>
    <col min="12806" max="12806" width="8.19921875" style="5" customWidth="1"/>
    <col min="12807" max="12808" width="7" style="5" customWidth="1"/>
    <col min="12809" max="12809" width="9.796875" style="5" customWidth="1"/>
    <col min="12810" max="12810" width="7.09765625" style="5" customWidth="1"/>
    <col min="12811" max="12811" width="9.19921875" style="5" customWidth="1"/>
    <col min="12812" max="12812" width="12.19921875" style="5" customWidth="1"/>
    <col min="12813" max="12813" width="8.8984375" style="5"/>
    <col min="12814" max="12814" width="9" style="5" customWidth="1"/>
    <col min="12815" max="12815" width="10.3984375" style="5" bestFit="1" customWidth="1"/>
    <col min="12816" max="12816" width="12.296875" style="5" customWidth="1"/>
    <col min="12817" max="12817" width="22" style="5" customWidth="1"/>
    <col min="12818" max="12819" width="15.09765625" style="5" bestFit="1" customWidth="1"/>
    <col min="12820" max="12820" width="9.796875" style="5" bestFit="1" customWidth="1"/>
    <col min="12821" max="12821" width="6.09765625" style="5" customWidth="1"/>
    <col min="12822" max="13049" width="8.8984375" style="5"/>
    <col min="13050" max="13050" width="5" style="5" customWidth="1"/>
    <col min="13051" max="13051" width="3.296875" style="5" customWidth="1"/>
    <col min="13052" max="13052" width="3.69921875" style="5" customWidth="1"/>
    <col min="13053" max="13053" width="7.19921875" style="5" customWidth="1"/>
    <col min="13054" max="13054" width="7.69921875" style="5" customWidth="1"/>
    <col min="13055" max="13055" width="7.59765625" style="5" customWidth="1"/>
    <col min="13056" max="13057" width="8.3984375" style="5" customWidth="1"/>
    <col min="13058" max="13058" width="10" style="5" customWidth="1"/>
    <col min="13059" max="13059" width="8.19921875" style="5" customWidth="1"/>
    <col min="13060" max="13060" width="7.59765625" style="5" customWidth="1"/>
    <col min="13061" max="13061" width="8.59765625" style="5" customWidth="1"/>
    <col min="13062" max="13062" width="8.19921875" style="5" customWidth="1"/>
    <col min="13063" max="13064" width="7" style="5" customWidth="1"/>
    <col min="13065" max="13065" width="9.796875" style="5" customWidth="1"/>
    <col min="13066" max="13066" width="7.09765625" style="5" customWidth="1"/>
    <col min="13067" max="13067" width="9.19921875" style="5" customWidth="1"/>
    <col min="13068" max="13068" width="12.19921875" style="5" customWidth="1"/>
    <col min="13069" max="13069" width="8.8984375" style="5"/>
    <col min="13070" max="13070" width="9" style="5" customWidth="1"/>
    <col min="13071" max="13071" width="10.3984375" style="5" bestFit="1" customWidth="1"/>
    <col min="13072" max="13072" width="12.296875" style="5" customWidth="1"/>
    <col min="13073" max="13073" width="22" style="5" customWidth="1"/>
    <col min="13074" max="13075" width="15.09765625" style="5" bestFit="1" customWidth="1"/>
    <col min="13076" max="13076" width="9.796875" style="5" bestFit="1" customWidth="1"/>
    <col min="13077" max="13077" width="6.09765625" style="5" customWidth="1"/>
    <col min="13078" max="13305" width="8.8984375" style="5"/>
    <col min="13306" max="13306" width="5" style="5" customWidth="1"/>
    <col min="13307" max="13307" width="3.296875" style="5" customWidth="1"/>
    <col min="13308" max="13308" width="3.69921875" style="5" customWidth="1"/>
    <col min="13309" max="13309" width="7.19921875" style="5" customWidth="1"/>
    <col min="13310" max="13310" width="7.69921875" style="5" customWidth="1"/>
    <col min="13311" max="13311" width="7.59765625" style="5" customWidth="1"/>
    <col min="13312" max="13313" width="8.3984375" style="5" customWidth="1"/>
    <col min="13314" max="13314" width="10" style="5" customWidth="1"/>
    <col min="13315" max="13315" width="8.19921875" style="5" customWidth="1"/>
    <col min="13316" max="13316" width="7.59765625" style="5" customWidth="1"/>
    <col min="13317" max="13317" width="8.59765625" style="5" customWidth="1"/>
    <col min="13318" max="13318" width="8.19921875" style="5" customWidth="1"/>
    <col min="13319" max="13320" width="7" style="5" customWidth="1"/>
    <col min="13321" max="13321" width="9.796875" style="5" customWidth="1"/>
    <col min="13322" max="13322" width="7.09765625" style="5" customWidth="1"/>
    <col min="13323" max="13323" width="9.19921875" style="5" customWidth="1"/>
    <col min="13324" max="13324" width="12.19921875" style="5" customWidth="1"/>
    <col min="13325" max="13325" width="8.8984375" style="5"/>
    <col min="13326" max="13326" width="9" style="5" customWidth="1"/>
    <col min="13327" max="13327" width="10.3984375" style="5" bestFit="1" customWidth="1"/>
    <col min="13328" max="13328" width="12.296875" style="5" customWidth="1"/>
    <col min="13329" max="13329" width="22" style="5" customWidth="1"/>
    <col min="13330" max="13331" width="15.09765625" style="5" bestFit="1" customWidth="1"/>
    <col min="13332" max="13332" width="9.796875" style="5" bestFit="1" customWidth="1"/>
    <col min="13333" max="13333" width="6.09765625" style="5" customWidth="1"/>
    <col min="13334" max="13561" width="8.8984375" style="5"/>
    <col min="13562" max="13562" width="5" style="5" customWidth="1"/>
    <col min="13563" max="13563" width="3.296875" style="5" customWidth="1"/>
    <col min="13564" max="13564" width="3.69921875" style="5" customWidth="1"/>
    <col min="13565" max="13565" width="7.19921875" style="5" customWidth="1"/>
    <col min="13566" max="13566" width="7.69921875" style="5" customWidth="1"/>
    <col min="13567" max="13567" width="7.59765625" style="5" customWidth="1"/>
    <col min="13568" max="13569" width="8.3984375" style="5" customWidth="1"/>
    <col min="13570" max="13570" width="10" style="5" customWidth="1"/>
    <col min="13571" max="13571" width="8.19921875" style="5" customWidth="1"/>
    <col min="13572" max="13572" width="7.59765625" style="5" customWidth="1"/>
    <col min="13573" max="13573" width="8.59765625" style="5" customWidth="1"/>
    <col min="13574" max="13574" width="8.19921875" style="5" customWidth="1"/>
    <col min="13575" max="13576" width="7" style="5" customWidth="1"/>
    <col min="13577" max="13577" width="9.796875" style="5" customWidth="1"/>
    <col min="13578" max="13578" width="7.09765625" style="5" customWidth="1"/>
    <col min="13579" max="13579" width="9.19921875" style="5" customWidth="1"/>
    <col min="13580" max="13580" width="12.19921875" style="5" customWidth="1"/>
    <col min="13581" max="13581" width="8.8984375" style="5"/>
    <col min="13582" max="13582" width="9" style="5" customWidth="1"/>
    <col min="13583" max="13583" width="10.3984375" style="5" bestFit="1" customWidth="1"/>
    <col min="13584" max="13584" width="12.296875" style="5" customWidth="1"/>
    <col min="13585" max="13585" width="22" style="5" customWidth="1"/>
    <col min="13586" max="13587" width="15.09765625" style="5" bestFit="1" customWidth="1"/>
    <col min="13588" max="13588" width="9.796875" style="5" bestFit="1" customWidth="1"/>
    <col min="13589" max="13589" width="6.09765625" style="5" customWidth="1"/>
    <col min="13590" max="13817" width="8.8984375" style="5"/>
    <col min="13818" max="13818" width="5" style="5" customWidth="1"/>
    <col min="13819" max="13819" width="3.296875" style="5" customWidth="1"/>
    <col min="13820" max="13820" width="3.69921875" style="5" customWidth="1"/>
    <col min="13821" max="13821" width="7.19921875" style="5" customWidth="1"/>
    <col min="13822" max="13822" width="7.69921875" style="5" customWidth="1"/>
    <col min="13823" max="13823" width="7.59765625" style="5" customWidth="1"/>
    <col min="13824" max="13825" width="8.3984375" style="5" customWidth="1"/>
    <col min="13826" max="13826" width="10" style="5" customWidth="1"/>
    <col min="13827" max="13827" width="8.19921875" style="5" customWidth="1"/>
    <col min="13828" max="13828" width="7.59765625" style="5" customWidth="1"/>
    <col min="13829" max="13829" width="8.59765625" style="5" customWidth="1"/>
    <col min="13830" max="13830" width="8.19921875" style="5" customWidth="1"/>
    <col min="13831" max="13832" width="7" style="5" customWidth="1"/>
    <col min="13833" max="13833" width="9.796875" style="5" customWidth="1"/>
    <col min="13834" max="13834" width="7.09765625" style="5" customWidth="1"/>
    <col min="13835" max="13835" width="9.19921875" style="5" customWidth="1"/>
    <col min="13836" max="13836" width="12.19921875" style="5" customWidth="1"/>
    <col min="13837" max="13837" width="8.8984375" style="5"/>
    <col min="13838" max="13838" width="9" style="5" customWidth="1"/>
    <col min="13839" max="13839" width="10.3984375" style="5" bestFit="1" customWidth="1"/>
    <col min="13840" max="13840" width="12.296875" style="5" customWidth="1"/>
    <col min="13841" max="13841" width="22" style="5" customWidth="1"/>
    <col min="13842" max="13843" width="15.09765625" style="5" bestFit="1" customWidth="1"/>
    <col min="13844" max="13844" width="9.796875" style="5" bestFit="1" customWidth="1"/>
    <col min="13845" max="13845" width="6.09765625" style="5" customWidth="1"/>
    <col min="13846" max="14073" width="8.8984375" style="5"/>
    <col min="14074" max="14074" width="5" style="5" customWidth="1"/>
    <col min="14075" max="14075" width="3.296875" style="5" customWidth="1"/>
    <col min="14076" max="14076" width="3.69921875" style="5" customWidth="1"/>
    <col min="14077" max="14077" width="7.19921875" style="5" customWidth="1"/>
    <col min="14078" max="14078" width="7.69921875" style="5" customWidth="1"/>
    <col min="14079" max="14079" width="7.59765625" style="5" customWidth="1"/>
    <col min="14080" max="14081" width="8.3984375" style="5" customWidth="1"/>
    <col min="14082" max="14082" width="10" style="5" customWidth="1"/>
    <col min="14083" max="14083" width="8.19921875" style="5" customWidth="1"/>
    <col min="14084" max="14084" width="7.59765625" style="5" customWidth="1"/>
    <col min="14085" max="14085" width="8.59765625" style="5" customWidth="1"/>
    <col min="14086" max="14086" width="8.19921875" style="5" customWidth="1"/>
    <col min="14087" max="14088" width="7" style="5" customWidth="1"/>
    <col min="14089" max="14089" width="9.796875" style="5" customWidth="1"/>
    <col min="14090" max="14090" width="7.09765625" style="5" customWidth="1"/>
    <col min="14091" max="14091" width="9.19921875" style="5" customWidth="1"/>
    <col min="14092" max="14092" width="12.19921875" style="5" customWidth="1"/>
    <col min="14093" max="14093" width="8.8984375" style="5"/>
    <col min="14094" max="14094" width="9" style="5" customWidth="1"/>
    <col min="14095" max="14095" width="10.3984375" style="5" bestFit="1" customWidth="1"/>
    <col min="14096" max="14096" width="12.296875" style="5" customWidth="1"/>
    <col min="14097" max="14097" width="22" style="5" customWidth="1"/>
    <col min="14098" max="14099" width="15.09765625" style="5" bestFit="1" customWidth="1"/>
    <col min="14100" max="14100" width="9.796875" style="5" bestFit="1" customWidth="1"/>
    <col min="14101" max="14101" width="6.09765625" style="5" customWidth="1"/>
    <col min="14102" max="14329" width="8.8984375" style="5"/>
    <col min="14330" max="14330" width="5" style="5" customWidth="1"/>
    <col min="14331" max="14331" width="3.296875" style="5" customWidth="1"/>
    <col min="14332" max="14332" width="3.69921875" style="5" customWidth="1"/>
    <col min="14333" max="14333" width="7.19921875" style="5" customWidth="1"/>
    <col min="14334" max="14334" width="7.69921875" style="5" customWidth="1"/>
    <col min="14335" max="14335" width="7.59765625" style="5" customWidth="1"/>
    <col min="14336" max="14337" width="8.3984375" style="5" customWidth="1"/>
    <col min="14338" max="14338" width="10" style="5" customWidth="1"/>
    <col min="14339" max="14339" width="8.19921875" style="5" customWidth="1"/>
    <col min="14340" max="14340" width="7.59765625" style="5" customWidth="1"/>
    <col min="14341" max="14341" width="8.59765625" style="5" customWidth="1"/>
    <col min="14342" max="14342" width="8.19921875" style="5" customWidth="1"/>
    <col min="14343" max="14344" width="7" style="5" customWidth="1"/>
    <col min="14345" max="14345" width="9.796875" style="5" customWidth="1"/>
    <col min="14346" max="14346" width="7.09765625" style="5" customWidth="1"/>
    <col min="14347" max="14347" width="9.19921875" style="5" customWidth="1"/>
    <col min="14348" max="14348" width="12.19921875" style="5" customWidth="1"/>
    <col min="14349" max="14349" width="8.8984375" style="5"/>
    <col min="14350" max="14350" width="9" style="5" customWidth="1"/>
    <col min="14351" max="14351" width="10.3984375" style="5" bestFit="1" customWidth="1"/>
    <col min="14352" max="14352" width="12.296875" style="5" customWidth="1"/>
    <col min="14353" max="14353" width="22" style="5" customWidth="1"/>
    <col min="14354" max="14355" width="15.09765625" style="5" bestFit="1" customWidth="1"/>
    <col min="14356" max="14356" width="9.796875" style="5" bestFit="1" customWidth="1"/>
    <col min="14357" max="14357" width="6.09765625" style="5" customWidth="1"/>
    <col min="14358" max="14585" width="8.8984375" style="5"/>
    <col min="14586" max="14586" width="5" style="5" customWidth="1"/>
    <col min="14587" max="14587" width="3.296875" style="5" customWidth="1"/>
    <col min="14588" max="14588" width="3.69921875" style="5" customWidth="1"/>
    <col min="14589" max="14589" width="7.19921875" style="5" customWidth="1"/>
    <col min="14590" max="14590" width="7.69921875" style="5" customWidth="1"/>
    <col min="14591" max="14591" width="7.59765625" style="5" customWidth="1"/>
    <col min="14592" max="14593" width="8.3984375" style="5" customWidth="1"/>
    <col min="14594" max="14594" width="10" style="5" customWidth="1"/>
    <col min="14595" max="14595" width="8.19921875" style="5" customWidth="1"/>
    <col min="14596" max="14596" width="7.59765625" style="5" customWidth="1"/>
    <col min="14597" max="14597" width="8.59765625" style="5" customWidth="1"/>
    <col min="14598" max="14598" width="8.19921875" style="5" customWidth="1"/>
    <col min="14599" max="14600" width="7" style="5" customWidth="1"/>
    <col min="14601" max="14601" width="9.796875" style="5" customWidth="1"/>
    <col min="14602" max="14602" width="7.09765625" style="5" customWidth="1"/>
    <col min="14603" max="14603" width="9.19921875" style="5" customWidth="1"/>
    <col min="14604" max="14604" width="12.19921875" style="5" customWidth="1"/>
    <col min="14605" max="14605" width="8.8984375" style="5"/>
    <col min="14606" max="14606" width="9" style="5" customWidth="1"/>
    <col min="14607" max="14607" width="10.3984375" style="5" bestFit="1" customWidth="1"/>
    <col min="14608" max="14608" width="12.296875" style="5" customWidth="1"/>
    <col min="14609" max="14609" width="22" style="5" customWidth="1"/>
    <col min="14610" max="14611" width="15.09765625" style="5" bestFit="1" customWidth="1"/>
    <col min="14612" max="14612" width="9.796875" style="5" bestFit="1" customWidth="1"/>
    <col min="14613" max="14613" width="6.09765625" style="5" customWidth="1"/>
    <col min="14614" max="14841" width="8.8984375" style="5"/>
    <col min="14842" max="14842" width="5" style="5" customWidth="1"/>
    <col min="14843" max="14843" width="3.296875" style="5" customWidth="1"/>
    <col min="14844" max="14844" width="3.69921875" style="5" customWidth="1"/>
    <col min="14845" max="14845" width="7.19921875" style="5" customWidth="1"/>
    <col min="14846" max="14846" width="7.69921875" style="5" customWidth="1"/>
    <col min="14847" max="14847" width="7.59765625" style="5" customWidth="1"/>
    <col min="14848" max="14849" width="8.3984375" style="5" customWidth="1"/>
    <col min="14850" max="14850" width="10" style="5" customWidth="1"/>
    <col min="14851" max="14851" width="8.19921875" style="5" customWidth="1"/>
    <col min="14852" max="14852" width="7.59765625" style="5" customWidth="1"/>
    <col min="14853" max="14853" width="8.59765625" style="5" customWidth="1"/>
    <col min="14854" max="14854" width="8.19921875" style="5" customWidth="1"/>
    <col min="14855" max="14856" width="7" style="5" customWidth="1"/>
    <col min="14857" max="14857" width="9.796875" style="5" customWidth="1"/>
    <col min="14858" max="14858" width="7.09765625" style="5" customWidth="1"/>
    <col min="14859" max="14859" width="9.19921875" style="5" customWidth="1"/>
    <col min="14860" max="14860" width="12.19921875" style="5" customWidth="1"/>
    <col min="14861" max="14861" width="8.8984375" style="5"/>
    <col min="14862" max="14862" width="9" style="5" customWidth="1"/>
    <col min="14863" max="14863" width="10.3984375" style="5" bestFit="1" customWidth="1"/>
    <col min="14864" max="14864" width="12.296875" style="5" customWidth="1"/>
    <col min="14865" max="14865" width="22" style="5" customWidth="1"/>
    <col min="14866" max="14867" width="15.09765625" style="5" bestFit="1" customWidth="1"/>
    <col min="14868" max="14868" width="9.796875" style="5" bestFit="1" customWidth="1"/>
    <col min="14869" max="14869" width="6.09765625" style="5" customWidth="1"/>
    <col min="14870" max="15097" width="8.8984375" style="5"/>
    <col min="15098" max="15098" width="5" style="5" customWidth="1"/>
    <col min="15099" max="15099" width="3.296875" style="5" customWidth="1"/>
    <col min="15100" max="15100" width="3.69921875" style="5" customWidth="1"/>
    <col min="15101" max="15101" width="7.19921875" style="5" customWidth="1"/>
    <col min="15102" max="15102" width="7.69921875" style="5" customWidth="1"/>
    <col min="15103" max="15103" width="7.59765625" style="5" customWidth="1"/>
    <col min="15104" max="15105" width="8.3984375" style="5" customWidth="1"/>
    <col min="15106" max="15106" width="10" style="5" customWidth="1"/>
    <col min="15107" max="15107" width="8.19921875" style="5" customWidth="1"/>
    <col min="15108" max="15108" width="7.59765625" style="5" customWidth="1"/>
    <col min="15109" max="15109" width="8.59765625" style="5" customWidth="1"/>
    <col min="15110" max="15110" width="8.19921875" style="5" customWidth="1"/>
    <col min="15111" max="15112" width="7" style="5" customWidth="1"/>
    <col min="15113" max="15113" width="9.796875" style="5" customWidth="1"/>
    <col min="15114" max="15114" width="7.09765625" style="5" customWidth="1"/>
    <col min="15115" max="15115" width="9.19921875" style="5" customWidth="1"/>
    <col min="15116" max="15116" width="12.19921875" style="5" customWidth="1"/>
    <col min="15117" max="15117" width="8.8984375" style="5"/>
    <col min="15118" max="15118" width="9" style="5" customWidth="1"/>
    <col min="15119" max="15119" width="10.3984375" style="5" bestFit="1" customWidth="1"/>
    <col min="15120" max="15120" width="12.296875" style="5" customWidth="1"/>
    <col min="15121" max="15121" width="22" style="5" customWidth="1"/>
    <col min="15122" max="15123" width="15.09765625" style="5" bestFit="1" customWidth="1"/>
    <col min="15124" max="15124" width="9.796875" style="5" bestFit="1" customWidth="1"/>
    <col min="15125" max="15125" width="6.09765625" style="5" customWidth="1"/>
    <col min="15126" max="15353" width="8.8984375" style="5"/>
    <col min="15354" max="15354" width="5" style="5" customWidth="1"/>
    <col min="15355" max="15355" width="3.296875" style="5" customWidth="1"/>
    <col min="15356" max="15356" width="3.69921875" style="5" customWidth="1"/>
    <col min="15357" max="15357" width="7.19921875" style="5" customWidth="1"/>
    <col min="15358" max="15358" width="7.69921875" style="5" customWidth="1"/>
    <col min="15359" max="15359" width="7.59765625" style="5" customWidth="1"/>
    <col min="15360" max="15361" width="8.3984375" style="5" customWidth="1"/>
    <col min="15362" max="15362" width="10" style="5" customWidth="1"/>
    <col min="15363" max="15363" width="8.19921875" style="5" customWidth="1"/>
    <col min="15364" max="15364" width="7.59765625" style="5" customWidth="1"/>
    <col min="15365" max="15365" width="8.59765625" style="5" customWidth="1"/>
    <col min="15366" max="15366" width="8.19921875" style="5" customWidth="1"/>
    <col min="15367" max="15368" width="7" style="5" customWidth="1"/>
    <col min="15369" max="15369" width="9.796875" style="5" customWidth="1"/>
    <col min="15370" max="15370" width="7.09765625" style="5" customWidth="1"/>
    <col min="15371" max="15371" width="9.19921875" style="5" customWidth="1"/>
    <col min="15372" max="15372" width="12.19921875" style="5" customWidth="1"/>
    <col min="15373" max="15373" width="8.8984375" style="5"/>
    <col min="15374" max="15374" width="9" style="5" customWidth="1"/>
    <col min="15375" max="15375" width="10.3984375" style="5" bestFit="1" customWidth="1"/>
    <col min="15376" max="15376" width="12.296875" style="5" customWidth="1"/>
    <col min="15377" max="15377" width="22" style="5" customWidth="1"/>
    <col min="15378" max="15379" width="15.09765625" style="5" bestFit="1" customWidth="1"/>
    <col min="15380" max="15380" width="9.796875" style="5" bestFit="1" customWidth="1"/>
    <col min="15381" max="15381" width="6.09765625" style="5" customWidth="1"/>
    <col min="15382" max="15609" width="8.8984375" style="5"/>
    <col min="15610" max="15610" width="5" style="5" customWidth="1"/>
    <col min="15611" max="15611" width="3.296875" style="5" customWidth="1"/>
    <col min="15612" max="15612" width="3.69921875" style="5" customWidth="1"/>
    <col min="15613" max="15613" width="7.19921875" style="5" customWidth="1"/>
    <col min="15614" max="15614" width="7.69921875" style="5" customWidth="1"/>
    <col min="15615" max="15615" width="7.59765625" style="5" customWidth="1"/>
    <col min="15616" max="15617" width="8.3984375" style="5" customWidth="1"/>
    <col min="15618" max="15618" width="10" style="5" customWidth="1"/>
    <col min="15619" max="15619" width="8.19921875" style="5" customWidth="1"/>
    <col min="15620" max="15620" width="7.59765625" style="5" customWidth="1"/>
    <col min="15621" max="15621" width="8.59765625" style="5" customWidth="1"/>
    <col min="15622" max="15622" width="8.19921875" style="5" customWidth="1"/>
    <col min="15623" max="15624" width="7" style="5" customWidth="1"/>
    <col min="15625" max="15625" width="9.796875" style="5" customWidth="1"/>
    <col min="15626" max="15626" width="7.09765625" style="5" customWidth="1"/>
    <col min="15627" max="15627" width="9.19921875" style="5" customWidth="1"/>
    <col min="15628" max="15628" width="12.19921875" style="5" customWidth="1"/>
    <col min="15629" max="15629" width="8.8984375" style="5"/>
    <col min="15630" max="15630" width="9" style="5" customWidth="1"/>
    <col min="15631" max="15631" width="10.3984375" style="5" bestFit="1" customWidth="1"/>
    <col min="15632" max="15632" width="12.296875" style="5" customWidth="1"/>
    <col min="15633" max="15633" width="22" style="5" customWidth="1"/>
    <col min="15634" max="15635" width="15.09765625" style="5" bestFit="1" customWidth="1"/>
    <col min="15636" max="15636" width="9.796875" style="5" bestFit="1" customWidth="1"/>
    <col min="15637" max="15637" width="6.09765625" style="5" customWidth="1"/>
    <col min="15638" max="15865" width="8.8984375" style="5"/>
    <col min="15866" max="15866" width="5" style="5" customWidth="1"/>
    <col min="15867" max="15867" width="3.296875" style="5" customWidth="1"/>
    <col min="15868" max="15868" width="3.69921875" style="5" customWidth="1"/>
    <col min="15869" max="15869" width="7.19921875" style="5" customWidth="1"/>
    <col min="15870" max="15870" width="7.69921875" style="5" customWidth="1"/>
    <col min="15871" max="15871" width="7.59765625" style="5" customWidth="1"/>
    <col min="15872" max="15873" width="8.3984375" style="5" customWidth="1"/>
    <col min="15874" max="15874" width="10" style="5" customWidth="1"/>
    <col min="15875" max="15875" width="8.19921875" style="5" customWidth="1"/>
    <col min="15876" max="15876" width="7.59765625" style="5" customWidth="1"/>
    <col min="15877" max="15877" width="8.59765625" style="5" customWidth="1"/>
    <col min="15878" max="15878" width="8.19921875" style="5" customWidth="1"/>
    <col min="15879" max="15880" width="7" style="5" customWidth="1"/>
    <col min="15881" max="15881" width="9.796875" style="5" customWidth="1"/>
    <col min="15882" max="15882" width="7.09765625" style="5" customWidth="1"/>
    <col min="15883" max="15883" width="9.19921875" style="5" customWidth="1"/>
    <col min="15884" max="15884" width="12.19921875" style="5" customWidth="1"/>
    <col min="15885" max="15885" width="8.8984375" style="5"/>
    <col min="15886" max="15886" width="9" style="5" customWidth="1"/>
    <col min="15887" max="15887" width="10.3984375" style="5" bestFit="1" customWidth="1"/>
    <col min="15888" max="15888" width="12.296875" style="5" customWidth="1"/>
    <col min="15889" max="15889" width="22" style="5" customWidth="1"/>
    <col min="15890" max="15891" width="15.09765625" style="5" bestFit="1" customWidth="1"/>
    <col min="15892" max="15892" width="9.796875" style="5" bestFit="1" customWidth="1"/>
    <col min="15893" max="15893" width="6.09765625" style="5" customWidth="1"/>
    <col min="15894" max="16121" width="8.8984375" style="5"/>
    <col min="16122" max="16122" width="5" style="5" customWidth="1"/>
    <col min="16123" max="16123" width="3.296875" style="5" customWidth="1"/>
    <col min="16124" max="16124" width="3.69921875" style="5" customWidth="1"/>
    <col min="16125" max="16125" width="7.19921875" style="5" customWidth="1"/>
    <col min="16126" max="16126" width="7.69921875" style="5" customWidth="1"/>
    <col min="16127" max="16127" width="7.59765625" style="5" customWidth="1"/>
    <col min="16128" max="16129" width="8.3984375" style="5" customWidth="1"/>
    <col min="16130" max="16130" width="10" style="5" customWidth="1"/>
    <col min="16131" max="16131" width="8.19921875" style="5" customWidth="1"/>
    <col min="16132" max="16132" width="7.59765625" style="5" customWidth="1"/>
    <col min="16133" max="16133" width="8.59765625" style="5" customWidth="1"/>
    <col min="16134" max="16134" width="8.19921875" style="5" customWidth="1"/>
    <col min="16135" max="16136" width="7" style="5" customWidth="1"/>
    <col min="16137" max="16137" width="9.796875" style="5" customWidth="1"/>
    <col min="16138" max="16138" width="7.09765625" style="5" customWidth="1"/>
    <col min="16139" max="16139" width="9.19921875" style="5" customWidth="1"/>
    <col min="16140" max="16140" width="12.19921875" style="5" customWidth="1"/>
    <col min="16141" max="16141" width="8.8984375" style="5"/>
    <col min="16142" max="16142" width="9" style="5" customWidth="1"/>
    <col min="16143" max="16143" width="10.3984375" style="5" bestFit="1" customWidth="1"/>
    <col min="16144" max="16144" width="12.296875" style="5" customWidth="1"/>
    <col min="16145" max="16145" width="22" style="5" customWidth="1"/>
    <col min="16146" max="16147" width="15.09765625" style="5" bestFit="1" customWidth="1"/>
    <col min="16148" max="16148" width="9.796875" style="5" bestFit="1" customWidth="1"/>
    <col min="16149" max="16149" width="6.09765625" style="5" customWidth="1"/>
    <col min="16150" max="16384" width="8.8984375" style="5"/>
  </cols>
  <sheetData>
    <row r="1" spans="1:23" ht="22.5" customHeight="1">
      <c r="A1" s="1"/>
      <c r="B1" s="2"/>
      <c r="C1" s="2"/>
      <c r="D1" s="2"/>
      <c r="E1" s="2"/>
      <c r="F1" s="1"/>
      <c r="G1" s="210" t="s">
        <v>0</v>
      </c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3"/>
      <c r="U1" s="212" t="s">
        <v>1</v>
      </c>
      <c r="V1" s="213"/>
      <c r="W1" s="213"/>
    </row>
    <row r="2" spans="1:23" ht="27" customHeight="1" thickBot="1">
      <c r="A2" s="215" t="s">
        <v>2</v>
      </c>
      <c r="B2" s="215"/>
      <c r="C2" s="215"/>
      <c r="D2" s="215"/>
      <c r="E2" s="215"/>
      <c r="F2" s="215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6"/>
      <c r="U2" s="214"/>
      <c r="V2" s="214"/>
      <c r="W2" s="214"/>
    </row>
    <row r="3" spans="1:23" ht="24" customHeight="1">
      <c r="A3" s="7" t="s">
        <v>3</v>
      </c>
      <c r="B3" s="216" t="s">
        <v>4</v>
      </c>
      <c r="C3" s="217"/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9" t="s">
        <v>12</v>
      </c>
      <c r="L3" s="8" t="s">
        <v>13</v>
      </c>
      <c r="M3" s="10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13" t="s">
        <v>19</v>
      </c>
      <c r="S3" s="15" t="s">
        <v>20</v>
      </c>
      <c r="T3" s="16" t="s">
        <v>21</v>
      </c>
      <c r="U3" s="8" t="s">
        <v>22</v>
      </c>
      <c r="V3" s="8" t="s">
        <v>23</v>
      </c>
      <c r="W3" s="17" t="s">
        <v>24</v>
      </c>
    </row>
    <row r="4" spans="1:23" ht="24" customHeight="1" thickBot="1">
      <c r="A4" s="18" t="s">
        <v>25</v>
      </c>
      <c r="B4" s="208" t="s">
        <v>26</v>
      </c>
      <c r="C4" s="209"/>
      <c r="D4" s="19"/>
      <c r="E4" s="19" t="s">
        <v>27</v>
      </c>
      <c r="F4" s="20" t="s">
        <v>28</v>
      </c>
      <c r="G4" s="20" t="s">
        <v>29</v>
      </c>
      <c r="H4" s="20" t="s">
        <v>30</v>
      </c>
      <c r="I4" s="20" t="s">
        <v>31</v>
      </c>
      <c r="J4" s="20" t="s">
        <v>32</v>
      </c>
      <c r="K4" s="21" t="s">
        <v>33</v>
      </c>
      <c r="L4" s="20" t="s">
        <v>34</v>
      </c>
      <c r="M4" s="22" t="s">
        <v>35</v>
      </c>
      <c r="N4" s="23" t="s">
        <v>36</v>
      </c>
      <c r="O4" s="24" t="s">
        <v>37</v>
      </c>
      <c r="P4" s="25" t="s">
        <v>38</v>
      </c>
      <c r="Q4" s="25" t="s">
        <v>39</v>
      </c>
      <c r="R4" s="25" t="s">
        <v>40</v>
      </c>
      <c r="S4" s="26" t="s">
        <v>41</v>
      </c>
      <c r="T4" s="19" t="s">
        <v>42</v>
      </c>
      <c r="U4" s="20" t="s">
        <v>43</v>
      </c>
      <c r="V4" s="27"/>
      <c r="W4" s="26" t="s">
        <v>44</v>
      </c>
    </row>
    <row r="5" spans="1:23" ht="20.25" customHeight="1">
      <c r="A5" s="204">
        <v>1</v>
      </c>
      <c r="B5" s="192" t="s">
        <v>45</v>
      </c>
      <c r="C5" s="193"/>
      <c r="D5" s="28">
        <v>670204</v>
      </c>
      <c r="E5" s="29" t="s">
        <v>46</v>
      </c>
      <c r="F5" s="30">
        <v>30</v>
      </c>
      <c r="G5" s="31">
        <v>10990</v>
      </c>
      <c r="H5" s="32"/>
      <c r="I5" s="33">
        <f>(G5*209)</f>
        <v>2296910</v>
      </c>
      <c r="J5" s="34">
        <v>49.5</v>
      </c>
      <c r="K5" s="35"/>
      <c r="L5" s="34"/>
      <c r="M5" s="34">
        <v>51.5</v>
      </c>
      <c r="N5" s="34">
        <v>9.5</v>
      </c>
      <c r="O5" s="36"/>
      <c r="P5" s="37">
        <f>G6*8*0</f>
        <v>0</v>
      </c>
      <c r="Q5" s="38"/>
      <c r="R5" s="39"/>
      <c r="S5" s="40"/>
      <c r="T5" s="41">
        <v>265650</v>
      </c>
      <c r="U5" s="31">
        <f>174540</f>
        <v>174540</v>
      </c>
      <c r="V5" s="31">
        <f>INT(S6*0.9%/10)*10</f>
        <v>40840</v>
      </c>
      <c r="W5" s="42">
        <f>SUM(T5:V6)</f>
        <v>732310</v>
      </c>
    </row>
    <row r="6" spans="1:23" ht="20.25" customHeight="1">
      <c r="A6" s="205"/>
      <c r="B6" s="44" t="s">
        <v>47</v>
      </c>
      <c r="C6" s="45" t="s">
        <v>48</v>
      </c>
      <c r="D6" s="46"/>
      <c r="E6" s="47"/>
      <c r="F6" s="48">
        <f>F5-H5</f>
        <v>30</v>
      </c>
      <c r="G6" s="49">
        <f>G5+(300000/209)</f>
        <v>12425.406698564593</v>
      </c>
      <c r="H6" s="50"/>
      <c r="I6" s="51">
        <f>-(G5*H5)*8</f>
        <v>0</v>
      </c>
      <c r="J6" s="52">
        <f>ROUND(J5*G6*1.5,-1)</f>
        <v>922590</v>
      </c>
      <c r="K6" s="49">
        <f>ROUND(K5*G6*1.5,-1)</f>
        <v>0</v>
      </c>
      <c r="L6" s="49">
        <f>ROUNDDOWN(G6*L5*0.5,-1)</f>
        <v>0</v>
      </c>
      <c r="M6" s="52">
        <f>ROUND(M5*G6*1.5,-1)</f>
        <v>959860</v>
      </c>
      <c r="N6" s="49">
        <f>ROUND(N5*G6*0.5,-1)</f>
        <v>59020</v>
      </c>
      <c r="O6" s="53">
        <f>ROUND(-1*O5*G5,0)</f>
        <v>0</v>
      </c>
      <c r="P6" s="52">
        <f>300000</f>
        <v>300000</v>
      </c>
      <c r="Q6" s="52"/>
      <c r="R6" s="52"/>
      <c r="S6" s="54">
        <f>SUM(I6:R6,I5,P5,Q5,R5,S5)</f>
        <v>4538380</v>
      </c>
      <c r="T6" s="55">
        <f>ROUNDDOWN(T5*10%,-1)</f>
        <v>26560</v>
      </c>
      <c r="U6" s="49">
        <v>224720</v>
      </c>
      <c r="V6" s="56"/>
      <c r="W6" s="54">
        <f>S6-W5</f>
        <v>3806070</v>
      </c>
    </row>
    <row r="7" spans="1:23" ht="20.25" customHeight="1">
      <c r="A7" s="204">
        <v>2</v>
      </c>
      <c r="B7" s="192" t="s">
        <v>49</v>
      </c>
      <c r="C7" s="193"/>
      <c r="D7" s="28">
        <v>640404</v>
      </c>
      <c r="E7" s="29" t="s">
        <v>46</v>
      </c>
      <c r="F7" s="30">
        <f>F5</f>
        <v>30</v>
      </c>
      <c r="G7" s="31">
        <v>10810</v>
      </c>
      <c r="H7" s="32"/>
      <c r="I7" s="33">
        <f>(G7*209)</f>
        <v>2259290</v>
      </c>
      <c r="J7" s="34">
        <v>56.5</v>
      </c>
      <c r="K7" s="35"/>
      <c r="L7" s="34"/>
      <c r="M7" s="34">
        <v>40</v>
      </c>
      <c r="N7" s="34">
        <v>8</v>
      </c>
      <c r="O7" s="36"/>
      <c r="P7" s="37">
        <f>G8*8*0</f>
        <v>0</v>
      </c>
      <c r="Q7" s="38"/>
      <c r="R7" s="39"/>
      <c r="S7" s="42"/>
      <c r="T7" s="41">
        <v>187950</v>
      </c>
      <c r="U7" s="31">
        <f>153970</f>
        <v>153970</v>
      </c>
      <c r="V7" s="31">
        <f>INT(S8*0.9%/10)*10</f>
        <v>35570</v>
      </c>
      <c r="W7" s="42">
        <f>SUM(T7:V8)</f>
        <v>396280</v>
      </c>
    </row>
    <row r="8" spans="1:23" ht="20.25" customHeight="1">
      <c r="A8" s="205"/>
      <c r="B8" s="44" t="s">
        <v>50</v>
      </c>
      <c r="C8" s="45" t="s">
        <v>48</v>
      </c>
      <c r="D8" s="46"/>
      <c r="E8" s="47"/>
      <c r="F8" s="48">
        <f>F7-H7</f>
        <v>30</v>
      </c>
      <c r="G8" s="49">
        <f>G7+(50000/209)</f>
        <v>11049.234449760766</v>
      </c>
      <c r="H8" s="50"/>
      <c r="I8" s="51">
        <f>-(G7*H7)*8</f>
        <v>0</v>
      </c>
      <c r="J8" s="52">
        <f>ROUND(J7*G8*1.5,-1)</f>
        <v>936420</v>
      </c>
      <c r="K8" s="49">
        <f>ROUND(K7*G8*1.5,-1)</f>
        <v>0</v>
      </c>
      <c r="L8" s="49">
        <f>ROUNDDOWN(G8*L7*0.5,-1)</f>
        <v>0</v>
      </c>
      <c r="M8" s="52">
        <f>ROUND(M7*G8*1.5,-1)</f>
        <v>662950</v>
      </c>
      <c r="N8" s="49">
        <f>ROUND(N7*G8*0.5,-1)</f>
        <v>44200</v>
      </c>
      <c r="O8" s="53">
        <f>ROUND(-1*O7*G7,0)</f>
        <v>0</v>
      </c>
      <c r="P8" s="52">
        <f>50000</f>
        <v>50000</v>
      </c>
      <c r="Q8" s="49"/>
      <c r="R8" s="52"/>
      <c r="S8" s="54">
        <f>SUM(I8:R8,I7,P7,Q7,R7,S7)</f>
        <v>3952860</v>
      </c>
      <c r="T8" s="55">
        <f>ROUNDDOWN(T7*10%,-1)</f>
        <v>18790</v>
      </c>
      <c r="U8" s="49"/>
      <c r="V8" s="56"/>
      <c r="W8" s="54">
        <f>S8-W7</f>
        <v>3556580</v>
      </c>
    </row>
    <row r="9" spans="1:23" ht="20.25" customHeight="1">
      <c r="A9" s="204">
        <v>3</v>
      </c>
      <c r="B9" s="192" t="s">
        <v>51</v>
      </c>
      <c r="C9" s="193"/>
      <c r="D9" s="28">
        <v>660905</v>
      </c>
      <c r="E9" s="29" t="s">
        <v>46</v>
      </c>
      <c r="F9" s="30">
        <f>F5</f>
        <v>30</v>
      </c>
      <c r="G9" s="31">
        <v>10510</v>
      </c>
      <c r="H9" s="32"/>
      <c r="I9" s="33">
        <f>(G9*209)</f>
        <v>2196590</v>
      </c>
      <c r="J9" s="34">
        <v>70</v>
      </c>
      <c r="K9" s="35"/>
      <c r="L9" s="34">
        <v>52</v>
      </c>
      <c r="M9" s="34">
        <v>40</v>
      </c>
      <c r="N9" s="34">
        <v>8</v>
      </c>
      <c r="O9" s="36"/>
      <c r="P9" s="37">
        <f>G10*8*0</f>
        <v>0</v>
      </c>
      <c r="Q9" s="38"/>
      <c r="R9" s="39"/>
      <c r="S9" s="42"/>
      <c r="T9" s="41">
        <v>241350</v>
      </c>
      <c r="U9" s="31">
        <f>178420</f>
        <v>178420</v>
      </c>
      <c r="V9" s="31">
        <f>INT(S10*0.9%/10)*10</f>
        <v>39080</v>
      </c>
      <c r="W9" s="42">
        <f>SUM(T9:V10)</f>
        <v>701710</v>
      </c>
    </row>
    <row r="10" spans="1:23" ht="20.25" customHeight="1">
      <c r="A10" s="205"/>
      <c r="B10" s="44" t="s">
        <v>50</v>
      </c>
      <c r="C10" s="45" t="s">
        <v>48</v>
      </c>
      <c r="D10" s="46"/>
      <c r="E10" s="47"/>
      <c r="F10" s="48">
        <f>F9-H9</f>
        <v>30</v>
      </c>
      <c r="G10" s="49">
        <f>G9+(50000/209)</f>
        <v>10749.234449760766</v>
      </c>
      <c r="H10" s="50"/>
      <c r="I10" s="51">
        <f>-(G9*H9)*8</f>
        <v>0</v>
      </c>
      <c r="J10" s="52">
        <f>ROUND(J9*G10*1.5,-1)</f>
        <v>1128670</v>
      </c>
      <c r="K10" s="49">
        <f>ROUND(K9*G10*1.5,-1)</f>
        <v>0</v>
      </c>
      <c r="L10" s="49">
        <f>ROUNDDOWN(G10*L9*0.5,-1)</f>
        <v>279480</v>
      </c>
      <c r="M10" s="52">
        <f>ROUND(M9*G10*1.5,-1)</f>
        <v>644950</v>
      </c>
      <c r="N10" s="49">
        <f>ROUND(N9*G10*0.5,-1)</f>
        <v>43000</v>
      </c>
      <c r="O10" s="53">
        <f>ROUND(-1*O9*G9,0)</f>
        <v>0</v>
      </c>
      <c r="P10" s="52">
        <f>(50000)</f>
        <v>50000</v>
      </c>
      <c r="Q10" s="49"/>
      <c r="R10" s="52"/>
      <c r="S10" s="54">
        <f>SUM(I10:R10,I9,P9,Q9,R9,S9)</f>
        <v>4342690</v>
      </c>
      <c r="T10" s="55">
        <f>ROUNDDOWN(T9*10%,-1)</f>
        <v>24130</v>
      </c>
      <c r="U10" s="49">
        <v>218730</v>
      </c>
      <c r="V10" s="56"/>
      <c r="W10" s="54">
        <f>S10-W9</f>
        <v>3640980</v>
      </c>
    </row>
    <row r="11" spans="1:23" ht="20.25" customHeight="1">
      <c r="A11" s="204">
        <v>4</v>
      </c>
      <c r="B11" s="192" t="s">
        <v>52</v>
      </c>
      <c r="C11" s="193"/>
      <c r="D11" s="28">
        <v>711121</v>
      </c>
      <c r="E11" s="29" t="s">
        <v>46</v>
      </c>
      <c r="F11" s="30">
        <f>$F$5</f>
        <v>30</v>
      </c>
      <c r="G11" s="31">
        <v>10510</v>
      </c>
      <c r="H11" s="32"/>
      <c r="I11" s="33">
        <f>(G11*209)</f>
        <v>2196590</v>
      </c>
      <c r="J11" s="34">
        <v>52</v>
      </c>
      <c r="K11" s="35"/>
      <c r="L11" s="34">
        <v>74</v>
      </c>
      <c r="M11" s="34">
        <v>48</v>
      </c>
      <c r="N11" s="34">
        <v>8</v>
      </c>
      <c r="O11" s="36"/>
      <c r="P11" s="37">
        <f>G12*8*0</f>
        <v>0</v>
      </c>
      <c r="Q11" s="38"/>
      <c r="R11" s="39"/>
      <c r="S11" s="42"/>
      <c r="T11" s="41">
        <v>222660</v>
      </c>
      <c r="U11" s="31">
        <f>160910</f>
        <v>160910</v>
      </c>
      <c r="V11" s="31">
        <f>INT(S12*0.9%/10)*10</f>
        <v>37830</v>
      </c>
      <c r="W11" s="42">
        <f>SUM(T11:V12)</f>
        <v>638640</v>
      </c>
    </row>
    <row r="12" spans="1:23" ht="20.25" customHeight="1">
      <c r="A12" s="205"/>
      <c r="B12" s="58" t="s">
        <v>53</v>
      </c>
      <c r="C12" s="45" t="s">
        <v>48</v>
      </c>
      <c r="D12" s="46"/>
      <c r="E12" s="47"/>
      <c r="F12" s="48">
        <f>F11-H11</f>
        <v>30</v>
      </c>
      <c r="G12" s="49">
        <f>G11</f>
        <v>10510</v>
      </c>
      <c r="H12" s="50"/>
      <c r="I12" s="51">
        <f>-(G11*H11)*8</f>
        <v>0</v>
      </c>
      <c r="J12" s="52">
        <f>ROUND(J11*G12*1.5,-1)</f>
        <v>819780</v>
      </c>
      <c r="K12" s="49">
        <f>ROUND(K11*G12*1.5,-1)</f>
        <v>0</v>
      </c>
      <c r="L12" s="49">
        <f>ROUNDDOWN(G12*L11*0.5,-1)</f>
        <v>388870</v>
      </c>
      <c r="M12" s="52">
        <f>ROUND(M11*G12*1.5,-1)</f>
        <v>756720</v>
      </c>
      <c r="N12" s="49">
        <f>ROUND(N11*G12*0.5,-1)</f>
        <v>42040</v>
      </c>
      <c r="O12" s="53">
        <f>ROUND(-1*O11*G11,0)</f>
        <v>0</v>
      </c>
      <c r="P12" s="52"/>
      <c r="Q12" s="49"/>
      <c r="R12" s="52"/>
      <c r="S12" s="54">
        <f>SUM(I12:R12,I11,P11,Q11,R11,S11)</f>
        <v>4204000</v>
      </c>
      <c r="T12" s="55">
        <f>ROUNDDOWN(T11*10%,-1)</f>
        <v>22260</v>
      </c>
      <c r="U12" s="49">
        <v>194980</v>
      </c>
      <c r="V12" s="56"/>
      <c r="W12" s="54">
        <f>S12-W11</f>
        <v>3565360</v>
      </c>
    </row>
    <row r="13" spans="1:23" ht="20.25" customHeight="1">
      <c r="A13" s="204">
        <v>5</v>
      </c>
      <c r="B13" s="192" t="s">
        <v>54</v>
      </c>
      <c r="C13" s="193"/>
      <c r="D13" s="28">
        <v>680117</v>
      </c>
      <c r="E13" s="29" t="s">
        <v>46</v>
      </c>
      <c r="F13" s="30">
        <f>$F$5</f>
        <v>30</v>
      </c>
      <c r="G13" s="31">
        <v>10510</v>
      </c>
      <c r="H13" s="32"/>
      <c r="I13" s="33">
        <f>(G13*209)</f>
        <v>2196590</v>
      </c>
      <c r="J13" s="34">
        <v>36</v>
      </c>
      <c r="K13" s="35"/>
      <c r="L13" s="34">
        <v>74</v>
      </c>
      <c r="M13" s="34">
        <v>20</v>
      </c>
      <c r="N13" s="34">
        <v>4</v>
      </c>
      <c r="O13" s="36"/>
      <c r="P13" s="37">
        <f>G14*8*0</f>
        <v>0</v>
      </c>
      <c r="Q13" s="38"/>
      <c r="R13" s="39"/>
      <c r="S13" s="42"/>
      <c r="T13" s="41">
        <v>134550</v>
      </c>
      <c r="U13" s="31">
        <f>131570</f>
        <v>131570</v>
      </c>
      <c r="V13" s="31">
        <f>INT(S14*0.9%/10)*10</f>
        <v>32110</v>
      </c>
      <c r="W13" s="42">
        <f>SUM(T13:V14)</f>
        <v>469710</v>
      </c>
    </row>
    <row r="14" spans="1:23" ht="19.8" customHeight="1">
      <c r="A14" s="205"/>
      <c r="B14" s="44" t="s">
        <v>50</v>
      </c>
      <c r="C14" s="45" t="s">
        <v>48</v>
      </c>
      <c r="D14" s="46"/>
      <c r="E14" s="47"/>
      <c r="F14" s="48">
        <f>F13-H13</f>
        <v>30</v>
      </c>
      <c r="G14" s="49">
        <f>G13+(50000/209)</f>
        <v>10749.234449760766</v>
      </c>
      <c r="H14" s="50"/>
      <c r="I14" s="51">
        <f>-(G13*H13)*8</f>
        <v>0</v>
      </c>
      <c r="J14" s="52">
        <f>ROUND(J13*G14*1.5,-1)</f>
        <v>580460</v>
      </c>
      <c r="K14" s="49">
        <f>ROUND(K13*G14*1.5,-1)</f>
        <v>0</v>
      </c>
      <c r="L14" s="49">
        <f>ROUNDDOWN(G14*L13*0.5,-1)</f>
        <v>397720</v>
      </c>
      <c r="M14" s="52">
        <f>ROUND(M13*G14*1.5,-1)</f>
        <v>322480</v>
      </c>
      <c r="N14" s="49">
        <f>ROUND(N13*G14*0.5,-1)</f>
        <v>21500</v>
      </c>
      <c r="O14" s="53">
        <f>ROUND(-1*O13*G13,0)</f>
        <v>0</v>
      </c>
      <c r="P14" s="52">
        <f>(50000)</f>
        <v>50000</v>
      </c>
      <c r="Q14" s="49"/>
      <c r="R14" s="52"/>
      <c r="S14" s="59">
        <f>SUM(I14:R14,I13,P13,Q13,R13,S13)</f>
        <v>3568750</v>
      </c>
      <c r="T14" s="55">
        <f>ROUNDDOWN(T13*10%,-1)</f>
        <v>13450</v>
      </c>
      <c r="U14" s="49">
        <v>158030</v>
      </c>
      <c r="V14" s="56"/>
      <c r="W14" s="54">
        <f>S14-W13</f>
        <v>3099040</v>
      </c>
    </row>
    <row r="15" spans="1:23" ht="20.25" customHeight="1">
      <c r="A15" s="204">
        <v>6</v>
      </c>
      <c r="B15" s="192" t="s">
        <v>55</v>
      </c>
      <c r="C15" s="193"/>
      <c r="D15" s="28">
        <v>660921</v>
      </c>
      <c r="E15" s="29" t="s">
        <v>46</v>
      </c>
      <c r="F15" s="30">
        <f>F13</f>
        <v>30</v>
      </c>
      <c r="G15" s="31">
        <v>10510</v>
      </c>
      <c r="H15" s="32"/>
      <c r="I15" s="33">
        <f>(G15*209)</f>
        <v>2196590</v>
      </c>
      <c r="J15" s="34">
        <v>52</v>
      </c>
      <c r="K15" s="35"/>
      <c r="L15" s="34">
        <v>50</v>
      </c>
      <c r="M15" s="34">
        <v>50</v>
      </c>
      <c r="N15" s="34">
        <v>10</v>
      </c>
      <c r="O15" s="36">
        <v>5</v>
      </c>
      <c r="P15" s="37">
        <f>G16*8*0</f>
        <v>0</v>
      </c>
      <c r="Q15" s="38"/>
      <c r="R15" s="39"/>
      <c r="S15" s="42"/>
      <c r="T15" s="41">
        <v>203970</v>
      </c>
      <c r="U15" s="31">
        <f>175800</f>
        <v>175800</v>
      </c>
      <c r="V15" s="31">
        <f>INT(S16*0.9%/10)*10</f>
        <v>36600</v>
      </c>
      <c r="W15" s="42">
        <f>SUM(T15:V16)</f>
        <v>634120</v>
      </c>
    </row>
    <row r="16" spans="1:23" ht="20.25" customHeight="1">
      <c r="A16" s="205"/>
      <c r="B16" s="58" t="s">
        <v>56</v>
      </c>
      <c r="C16" s="45" t="s">
        <v>48</v>
      </c>
      <c r="D16" s="46"/>
      <c r="E16" s="47"/>
      <c r="F16" s="48">
        <f>F15-H15</f>
        <v>30</v>
      </c>
      <c r="G16" s="49">
        <f>G15</f>
        <v>10510</v>
      </c>
      <c r="H16" s="50"/>
      <c r="I16" s="51" t="s">
        <v>57</v>
      </c>
      <c r="J16" s="52">
        <f>ROUND(J15*G16*1.5,-1)</f>
        <v>819780</v>
      </c>
      <c r="K16" s="49">
        <f>ROUND(K15*G16*1.5,-1)</f>
        <v>0</v>
      </c>
      <c r="L16" s="49">
        <f>ROUNDDOWN(G16*L15*0.5,-1)</f>
        <v>262750</v>
      </c>
      <c r="M16" s="52">
        <f>ROUND(M15*G16*1.5,-1)</f>
        <v>788250</v>
      </c>
      <c r="N16" s="49">
        <f>ROUND(N15*G16*0.5,-1)</f>
        <v>52550</v>
      </c>
      <c r="O16" s="53">
        <f>ROUND(-1*O15*G15,0)</f>
        <v>-52550</v>
      </c>
      <c r="P16" s="52"/>
      <c r="Q16" s="49"/>
      <c r="R16" s="52"/>
      <c r="S16" s="54">
        <f>SUM(I16:R16,I15,P15,Q15,R15,S15)</f>
        <v>4067370</v>
      </c>
      <c r="T16" s="55">
        <f>ROUNDDOWN(T15*10%,-1)</f>
        <v>20390</v>
      </c>
      <c r="U16" s="49">
        <v>197360</v>
      </c>
      <c r="V16" s="56"/>
      <c r="W16" s="54">
        <f>S16-W15</f>
        <v>3433250</v>
      </c>
    </row>
    <row r="17" spans="1:23" ht="20.25" customHeight="1">
      <c r="A17" s="204">
        <v>7</v>
      </c>
      <c r="B17" s="192" t="s">
        <v>58</v>
      </c>
      <c r="C17" s="193"/>
      <c r="D17" s="28">
        <v>690723</v>
      </c>
      <c r="E17" s="29" t="s">
        <v>46</v>
      </c>
      <c r="F17" s="30">
        <f>$F$5</f>
        <v>30</v>
      </c>
      <c r="G17" s="31">
        <v>10510</v>
      </c>
      <c r="H17" s="32"/>
      <c r="I17" s="33">
        <f>(G17*209)</f>
        <v>2196590</v>
      </c>
      <c r="J17" s="34">
        <v>68.5</v>
      </c>
      <c r="K17" s="35"/>
      <c r="L17" s="34">
        <v>48</v>
      </c>
      <c r="M17" s="34">
        <v>30</v>
      </c>
      <c r="N17" s="34">
        <v>6</v>
      </c>
      <c r="O17" s="36">
        <v>2</v>
      </c>
      <c r="P17" s="60">
        <f>G18*8*0</f>
        <v>0</v>
      </c>
      <c r="Q17" s="38"/>
      <c r="R17" s="39"/>
      <c r="S17" s="42"/>
      <c r="T17" s="41">
        <v>209310</v>
      </c>
      <c r="U17" s="31">
        <f>174630</f>
        <v>174630</v>
      </c>
      <c r="V17" s="31">
        <f>INT(S18*0.9%/10)*10</f>
        <v>36930</v>
      </c>
      <c r="W17" s="42">
        <f>SUM(T17:V18)</f>
        <v>648280</v>
      </c>
    </row>
    <row r="18" spans="1:23" ht="20.25" customHeight="1">
      <c r="A18" s="205"/>
      <c r="B18" s="44" t="s">
        <v>50</v>
      </c>
      <c r="C18" s="45" t="s">
        <v>48</v>
      </c>
      <c r="D18" s="46"/>
      <c r="E18" s="47"/>
      <c r="F18" s="48">
        <f>F17-H17</f>
        <v>30</v>
      </c>
      <c r="G18" s="49">
        <f>G17+(50000/209)</f>
        <v>10749.234449760766</v>
      </c>
      <c r="H18" s="50"/>
      <c r="I18" s="51">
        <f>-(G17*H17)*8</f>
        <v>0</v>
      </c>
      <c r="J18" s="52">
        <f>ROUND(J17*G18*1.5,-1)</f>
        <v>1104480</v>
      </c>
      <c r="K18" s="49">
        <f>ROUND(K17*G18*1.5,-1)</f>
        <v>0</v>
      </c>
      <c r="L18" s="49">
        <f>ROUNDDOWN(G18*L17*0.5,-1)</f>
        <v>257980</v>
      </c>
      <c r="M18" s="52">
        <f>ROUND(M17*G18*1.5,-1)</f>
        <v>483720</v>
      </c>
      <c r="N18" s="49">
        <f>ROUND(N17*G18*0.5,-1)</f>
        <v>32250</v>
      </c>
      <c r="O18" s="53">
        <f>ROUND(-1*O17*G17,0)</f>
        <v>-21020</v>
      </c>
      <c r="P18" s="52">
        <f>50000</f>
        <v>50000</v>
      </c>
      <c r="Q18" s="49"/>
      <c r="R18" s="52"/>
      <c r="S18" s="59">
        <f>SUM(I18:R18,I17,P17,Q17,R17,S17)</f>
        <v>4104000</v>
      </c>
      <c r="T18" s="55">
        <f>ROUNDDOWN(T17*10%,-1)</f>
        <v>20930</v>
      </c>
      <c r="U18" s="49">
        <v>206480</v>
      </c>
      <c r="V18" s="56"/>
      <c r="W18" s="54">
        <f>S18-W17</f>
        <v>3455720</v>
      </c>
    </row>
    <row r="19" spans="1:23" ht="20.25" customHeight="1">
      <c r="A19" s="204">
        <v>8</v>
      </c>
      <c r="B19" s="192" t="s">
        <v>59</v>
      </c>
      <c r="C19" s="193"/>
      <c r="D19" s="28">
        <v>840601</v>
      </c>
      <c r="E19" s="29" t="s">
        <v>46</v>
      </c>
      <c r="F19" s="30">
        <f>$F$5</f>
        <v>30</v>
      </c>
      <c r="G19" s="31">
        <v>10510</v>
      </c>
      <c r="H19" s="61"/>
      <c r="I19" s="33">
        <f>(G19*209)</f>
        <v>2196590</v>
      </c>
      <c r="J19" s="34">
        <v>26</v>
      </c>
      <c r="K19" s="35"/>
      <c r="L19" s="34">
        <v>48</v>
      </c>
      <c r="M19" s="34"/>
      <c r="N19" s="34"/>
      <c r="O19" s="36"/>
      <c r="P19" s="37">
        <f>G20*8*0</f>
        <v>0</v>
      </c>
      <c r="Q19" s="38"/>
      <c r="R19" s="39"/>
      <c r="S19" s="62"/>
      <c r="T19" s="41">
        <v>64510</v>
      </c>
      <c r="U19" s="31">
        <f>128490</f>
        <v>128490</v>
      </c>
      <c r="V19" s="31">
        <f>INT(S20*0.9%/10)*10</f>
        <v>26020</v>
      </c>
      <c r="W19" s="42">
        <f>SUM(T19:V20)</f>
        <v>387110</v>
      </c>
    </row>
    <row r="20" spans="1:23" ht="20.25" customHeight="1">
      <c r="A20" s="205"/>
      <c r="B20" s="58" t="s">
        <v>56</v>
      </c>
      <c r="C20" s="45" t="s">
        <v>48</v>
      </c>
      <c r="D20" s="46"/>
      <c r="E20" s="47"/>
      <c r="F20" s="48">
        <f>F19-H19</f>
        <v>30</v>
      </c>
      <c r="G20" s="49">
        <f>G19+(25000/209)</f>
        <v>10629.617224880383</v>
      </c>
      <c r="H20" s="50"/>
      <c r="I20" s="51">
        <f>-(G19*H19)*8</f>
        <v>0</v>
      </c>
      <c r="J20" s="52">
        <f>ROUND(J19*G20*1.5,-1)</f>
        <v>414560</v>
      </c>
      <c r="K20" s="49">
        <f>ROUND(K19*G20*1.5,-1)</f>
        <v>0</v>
      </c>
      <c r="L20" s="49">
        <f>ROUNDDOWN(G20*L19*0.5,-1)</f>
        <v>255110</v>
      </c>
      <c r="M20" s="52">
        <f>ROUND(M19*G20*1.5,-1)</f>
        <v>0</v>
      </c>
      <c r="N20" s="49">
        <f>ROUND(N19*G20*0.5,-1)</f>
        <v>0</v>
      </c>
      <c r="O20" s="53">
        <f>ROUND(-1*O19*G19,0)</f>
        <v>0</v>
      </c>
      <c r="P20" s="52">
        <f>25000</f>
        <v>25000</v>
      </c>
      <c r="Q20" s="49"/>
      <c r="R20" s="52"/>
      <c r="S20" s="59">
        <f>SUM(I20:R20,I19,P19,Q19,R19,S19)</f>
        <v>2891260</v>
      </c>
      <c r="T20" s="55">
        <f>ROUNDDOWN(T19*10%,-1)</f>
        <v>6450</v>
      </c>
      <c r="U20" s="49">
        <v>161640</v>
      </c>
      <c r="V20" s="56"/>
      <c r="W20" s="54">
        <f>S20-W19</f>
        <v>2504150</v>
      </c>
    </row>
    <row r="21" spans="1:23" ht="20.25" customHeight="1">
      <c r="A21" s="204">
        <v>9</v>
      </c>
      <c r="B21" s="192" t="s">
        <v>60</v>
      </c>
      <c r="C21" s="193"/>
      <c r="D21" s="28">
        <v>761030</v>
      </c>
      <c r="E21" s="29" t="s">
        <v>46</v>
      </c>
      <c r="F21" s="30">
        <f>$F$5</f>
        <v>30</v>
      </c>
      <c r="G21" s="31">
        <v>10510</v>
      </c>
      <c r="H21" s="32"/>
      <c r="I21" s="33">
        <f>(G21*209)</f>
        <v>2196590</v>
      </c>
      <c r="J21" s="34">
        <v>70</v>
      </c>
      <c r="K21" s="35"/>
      <c r="L21" s="34">
        <v>82</v>
      </c>
      <c r="M21" s="34">
        <v>50</v>
      </c>
      <c r="N21" s="34">
        <v>10</v>
      </c>
      <c r="O21" s="36"/>
      <c r="P21" s="63">
        <f>G22*8*0</f>
        <v>0</v>
      </c>
      <c r="Q21" s="38"/>
      <c r="R21" s="64"/>
      <c r="S21" s="42"/>
      <c r="T21" s="41">
        <v>282170</v>
      </c>
      <c r="U21" s="31">
        <f>174910</f>
        <v>174910</v>
      </c>
      <c r="V21" s="31">
        <f>INT(S22*0.9%/10)*10</f>
        <v>41610</v>
      </c>
      <c r="W21" s="42">
        <f>SUM(T21:V22)</f>
        <v>734230</v>
      </c>
    </row>
    <row r="22" spans="1:23" ht="20.25" customHeight="1">
      <c r="A22" s="205"/>
      <c r="B22" s="58" t="s">
        <v>56</v>
      </c>
      <c r="C22" s="46" t="s">
        <v>48</v>
      </c>
      <c r="D22" s="46"/>
      <c r="E22" s="47"/>
      <c r="F22" s="48">
        <f>F21-H21</f>
        <v>30</v>
      </c>
      <c r="G22" s="49">
        <f>G21+(25000/209)</f>
        <v>10629.617224880383</v>
      </c>
      <c r="H22" s="50"/>
      <c r="I22" s="51">
        <f>-(G21*H21)*8</f>
        <v>0</v>
      </c>
      <c r="J22" s="52">
        <f>ROUND(J21*G22*1.5,-1)</f>
        <v>1116110</v>
      </c>
      <c r="K22" s="49">
        <f>ROUND(K21*G22*1.5,-1)</f>
        <v>0</v>
      </c>
      <c r="L22" s="49">
        <f>ROUNDDOWN(G22*L21*0.5,-1)</f>
        <v>435810</v>
      </c>
      <c r="M22" s="52">
        <f>ROUND(M21*G22*1.5,-1)</f>
        <v>797220</v>
      </c>
      <c r="N22" s="49">
        <f>ROUND(N21*G22*0.5,-1)</f>
        <v>53150</v>
      </c>
      <c r="O22" s="53">
        <f>ROUND(-1*O21*G21,0)</f>
        <v>0</v>
      </c>
      <c r="P22" s="52">
        <v>25000</v>
      </c>
      <c r="Q22" s="49"/>
      <c r="R22" s="52"/>
      <c r="S22" s="59">
        <f>SUM(I22:R22,I21,P21,Q21,R21,S21)</f>
        <v>4623880</v>
      </c>
      <c r="T22" s="55">
        <f>ROUNDDOWN(T21*10%,-1)</f>
        <v>28210</v>
      </c>
      <c r="U22" s="49">
        <v>207330</v>
      </c>
      <c r="V22" s="56"/>
      <c r="W22" s="54">
        <f>S22-W21</f>
        <v>3889650</v>
      </c>
    </row>
    <row r="23" spans="1:23" ht="20.25" customHeight="1">
      <c r="A23" s="204">
        <v>10</v>
      </c>
      <c r="B23" s="192" t="s">
        <v>61</v>
      </c>
      <c r="C23" s="193"/>
      <c r="D23" s="28">
        <v>741127</v>
      </c>
      <c r="E23" s="29" t="s">
        <v>46</v>
      </c>
      <c r="F23" s="30">
        <f>$F$5</f>
        <v>30</v>
      </c>
      <c r="G23" s="31">
        <v>10510</v>
      </c>
      <c r="H23" s="32"/>
      <c r="I23" s="33">
        <f>(G23*209)</f>
        <v>2196590</v>
      </c>
      <c r="J23" s="34">
        <v>52</v>
      </c>
      <c r="K23" s="35"/>
      <c r="L23" s="34">
        <v>44</v>
      </c>
      <c r="M23" s="34">
        <v>40</v>
      </c>
      <c r="N23" s="34">
        <v>8</v>
      </c>
      <c r="O23" s="36"/>
      <c r="P23" s="65">
        <f>(G24*8)*0</f>
        <v>0</v>
      </c>
      <c r="Q23" s="38"/>
      <c r="R23" s="66"/>
      <c r="S23" s="42"/>
      <c r="T23" s="41">
        <v>190620</v>
      </c>
      <c r="U23" s="31">
        <f>158740</f>
        <v>158740</v>
      </c>
      <c r="V23" s="31">
        <f>INT(S24*0.9%/10)*10</f>
        <v>35680</v>
      </c>
      <c r="W23" s="42">
        <f>SUM(T23:V24)</f>
        <v>605310</v>
      </c>
    </row>
    <row r="24" spans="1:23" ht="20.25" customHeight="1">
      <c r="A24" s="205"/>
      <c r="B24" s="58" t="s">
        <v>62</v>
      </c>
      <c r="C24" s="67" t="s">
        <v>48</v>
      </c>
      <c r="D24" s="68"/>
      <c r="E24" s="69"/>
      <c r="F24" s="48">
        <f>F23-H23</f>
        <v>30</v>
      </c>
      <c r="G24" s="49">
        <f>G23+(25000/209)</f>
        <v>10629.617224880383</v>
      </c>
      <c r="H24" s="70"/>
      <c r="I24" s="51">
        <f>-(G23*H23)*8</f>
        <v>0</v>
      </c>
      <c r="J24" s="49">
        <f>ROUND(J23*G24*1.5,-1)</f>
        <v>829110</v>
      </c>
      <c r="K24" s="49">
        <f>ROUND(K23*G24*1.5,-1)</f>
        <v>0</v>
      </c>
      <c r="L24" s="49">
        <f>ROUNDDOWN(G24*L23*0.5,-1)</f>
        <v>233850</v>
      </c>
      <c r="M24" s="49">
        <f>ROUND(M23*G24*1.5,-1)</f>
        <v>637780</v>
      </c>
      <c r="N24" s="49">
        <f>ROUND(N23*G24*0.5,-1)</f>
        <v>42520</v>
      </c>
      <c r="O24" s="53">
        <f>ROUND(-1*O23*G23,0)</f>
        <v>0</v>
      </c>
      <c r="P24" s="49">
        <f>25000</f>
        <v>25000</v>
      </c>
      <c r="Q24" s="49"/>
      <c r="R24" s="71"/>
      <c r="S24" s="59">
        <f>SUM(I24:R24,I23,P23,Q23,R23,S23)</f>
        <v>3964850</v>
      </c>
      <c r="T24" s="55">
        <f>ROUNDDOWN(T23*10%,-1)</f>
        <v>19060</v>
      </c>
      <c r="U24" s="49">
        <v>201210</v>
      </c>
      <c r="V24" s="56"/>
      <c r="W24" s="54">
        <f>S24-W23</f>
        <v>3359540</v>
      </c>
    </row>
    <row r="25" spans="1:23" ht="20.25" customHeight="1">
      <c r="A25" s="204">
        <v>11</v>
      </c>
      <c r="B25" s="192" t="s">
        <v>63</v>
      </c>
      <c r="C25" s="193"/>
      <c r="D25" s="28">
        <v>700826</v>
      </c>
      <c r="E25" s="29" t="s">
        <v>46</v>
      </c>
      <c r="F25" s="30">
        <f>$F$5</f>
        <v>30</v>
      </c>
      <c r="G25" s="31">
        <v>10990</v>
      </c>
      <c r="H25" s="72"/>
      <c r="I25" s="33">
        <f>(G25*209)</f>
        <v>2296910</v>
      </c>
      <c r="J25" s="34">
        <v>40</v>
      </c>
      <c r="K25" s="35"/>
      <c r="L25" s="34">
        <v>42</v>
      </c>
      <c r="M25" s="34">
        <v>30</v>
      </c>
      <c r="N25" s="34">
        <v>6</v>
      </c>
      <c r="O25" s="36"/>
      <c r="P25" s="37">
        <f>G26*8*0</f>
        <v>0</v>
      </c>
      <c r="Q25" s="73">
        <f>100000</f>
        <v>100000</v>
      </c>
      <c r="R25" s="39"/>
      <c r="S25" s="74"/>
      <c r="T25" s="41">
        <v>177270</v>
      </c>
      <c r="U25" s="31">
        <f>127480</f>
        <v>127480</v>
      </c>
      <c r="V25" s="31">
        <f>INT(S26*0.9%/10)*10</f>
        <v>34880</v>
      </c>
      <c r="W25" s="42">
        <f>SUM(T25:V26)</f>
        <v>501940</v>
      </c>
    </row>
    <row r="26" spans="1:23" ht="20.25" customHeight="1">
      <c r="A26" s="205"/>
      <c r="B26" s="58" t="s">
        <v>64</v>
      </c>
      <c r="C26" s="44" t="s">
        <v>65</v>
      </c>
      <c r="D26" s="46"/>
      <c r="E26" s="47"/>
      <c r="F26" s="48">
        <f>F25-H25</f>
        <v>30</v>
      </c>
      <c r="G26" s="49">
        <f>G25+(100000/209)</f>
        <v>11468.468899521531</v>
      </c>
      <c r="H26" s="50"/>
      <c r="I26" s="51">
        <f>-(G25*H25)*8</f>
        <v>0</v>
      </c>
      <c r="J26" s="52">
        <f>ROUND(J25*G26*1.5,-1)</f>
        <v>688110</v>
      </c>
      <c r="K26" s="49">
        <f>ROUND(K25*G26*1.5,-1)</f>
        <v>0</v>
      </c>
      <c r="L26" s="49">
        <f>ROUNDDOWN(G26*L25*0.5,-1)</f>
        <v>240830</v>
      </c>
      <c r="M26" s="52">
        <f>ROUND(M25*G26*1.5,-1)</f>
        <v>516080</v>
      </c>
      <c r="N26" s="49">
        <f>ROUND(N25*G26*0.5,-1)</f>
        <v>34410</v>
      </c>
      <c r="O26" s="53">
        <f>ROUND(-1*O25*G25,0)</f>
        <v>0</v>
      </c>
      <c r="P26" s="52"/>
      <c r="Q26" s="52"/>
      <c r="R26" s="52"/>
      <c r="S26" s="54">
        <f>SUM(I26:R26,I25,P25,Q25,R25,S25)</f>
        <v>3876340</v>
      </c>
      <c r="T26" s="55">
        <f>ROUNDDOWN(T25*10%,-1)</f>
        <v>17720</v>
      </c>
      <c r="U26" s="49">
        <v>144590</v>
      </c>
      <c r="V26" s="56"/>
      <c r="W26" s="54">
        <f>S26-W25</f>
        <v>3374400</v>
      </c>
    </row>
    <row r="27" spans="1:23" s="75" customFormat="1" ht="20.25" customHeight="1">
      <c r="A27" s="204">
        <v>12</v>
      </c>
      <c r="B27" s="192" t="s">
        <v>66</v>
      </c>
      <c r="C27" s="193"/>
      <c r="D27" s="28">
        <v>670216</v>
      </c>
      <c r="E27" s="29" t="s">
        <v>46</v>
      </c>
      <c r="F27" s="30">
        <f>$F$5</f>
        <v>30</v>
      </c>
      <c r="G27" s="31">
        <v>10510</v>
      </c>
      <c r="H27" s="32"/>
      <c r="I27" s="33">
        <f>(G27*209)</f>
        <v>2196590</v>
      </c>
      <c r="J27" s="34">
        <v>68</v>
      </c>
      <c r="K27" s="35"/>
      <c r="L27" s="34">
        <v>70</v>
      </c>
      <c r="M27" s="34">
        <v>50</v>
      </c>
      <c r="N27" s="34">
        <v>10</v>
      </c>
      <c r="O27" s="36"/>
      <c r="P27" s="37">
        <f>G28*8*0</f>
        <v>0</v>
      </c>
      <c r="Q27" s="38"/>
      <c r="R27" s="39"/>
      <c r="S27" s="42"/>
      <c r="T27" s="41">
        <v>257370</v>
      </c>
      <c r="U27" s="31">
        <f>169660</f>
        <v>169660</v>
      </c>
      <c r="V27" s="31">
        <f>INT(S28*0.9%/10)*10</f>
        <v>40290</v>
      </c>
      <c r="W27" s="42">
        <f>SUM(T27:V28)</f>
        <v>697820</v>
      </c>
    </row>
    <row r="28" spans="1:23" s="75" customFormat="1" ht="20.25" customHeight="1">
      <c r="A28" s="205"/>
      <c r="B28" s="58" t="s">
        <v>67</v>
      </c>
      <c r="C28" s="45" t="s">
        <v>48</v>
      </c>
      <c r="D28" s="46"/>
      <c r="E28" s="47"/>
      <c r="F28" s="48">
        <f>F27-H27</f>
        <v>30</v>
      </c>
      <c r="G28" s="49">
        <f>G27</f>
        <v>10510</v>
      </c>
      <c r="H28" s="50"/>
      <c r="I28" s="51">
        <f>-(G27*H27)*8</f>
        <v>0</v>
      </c>
      <c r="J28" s="52">
        <f>ROUND(J27*G28*1.5,-1)</f>
        <v>1072020</v>
      </c>
      <c r="K28" s="49">
        <f>ROUND(K27*G28*1.5,-1)</f>
        <v>0</v>
      </c>
      <c r="L28" s="49">
        <f>ROUNDDOWN(G28*L27*0.5,-1)</f>
        <v>367850</v>
      </c>
      <c r="M28" s="52">
        <f>ROUND(M27*G28*1.5,-1)</f>
        <v>788250</v>
      </c>
      <c r="N28" s="49">
        <f>ROUND(N27*G28*0.5,-1)</f>
        <v>52550</v>
      </c>
      <c r="O28" s="53">
        <f>ROUND(-1*O27*G27,0)</f>
        <v>0</v>
      </c>
      <c r="P28" s="52"/>
      <c r="Q28" s="49"/>
      <c r="R28" s="52"/>
      <c r="S28" s="54">
        <f>SUM(I28:R28,I27,P27,Q27,R27,S27)</f>
        <v>4477260</v>
      </c>
      <c r="T28" s="55">
        <f>ROUNDDOWN(T27*10%,-1)</f>
        <v>25730</v>
      </c>
      <c r="U28" s="49">
        <v>204770</v>
      </c>
      <c r="V28" s="56"/>
      <c r="W28" s="54">
        <f>S28-W27</f>
        <v>3779440</v>
      </c>
    </row>
    <row r="29" spans="1:23" ht="20.25" customHeight="1">
      <c r="A29" s="204">
        <v>13</v>
      </c>
      <c r="B29" s="192" t="s">
        <v>68</v>
      </c>
      <c r="C29" s="193"/>
      <c r="D29" s="28">
        <v>670401</v>
      </c>
      <c r="E29" s="29" t="s">
        <v>46</v>
      </c>
      <c r="F29" s="30">
        <f>$F$5</f>
        <v>30</v>
      </c>
      <c r="G29" s="31">
        <v>10810</v>
      </c>
      <c r="H29" s="32"/>
      <c r="I29" s="33">
        <f>(G29*209)</f>
        <v>2259290</v>
      </c>
      <c r="J29" s="34">
        <v>54</v>
      </c>
      <c r="K29" s="35"/>
      <c r="L29" s="34">
        <v>78</v>
      </c>
      <c r="M29" s="34">
        <v>30</v>
      </c>
      <c r="N29" s="34">
        <v>6</v>
      </c>
      <c r="O29" s="36"/>
      <c r="P29" s="37">
        <f>G30*8*0</f>
        <v>0</v>
      </c>
      <c r="Q29" s="38"/>
      <c r="R29" s="39"/>
      <c r="S29" s="42"/>
      <c r="T29" s="41">
        <v>217320</v>
      </c>
      <c r="U29" s="31">
        <f>161250</f>
        <v>161250</v>
      </c>
      <c r="V29" s="31">
        <f>INT(S30*0.9%/10)*10</f>
        <v>37490</v>
      </c>
      <c r="W29" s="42">
        <f>SUM(T29:V30)</f>
        <v>637710</v>
      </c>
    </row>
    <row r="30" spans="1:23" ht="20.25" customHeight="1">
      <c r="A30" s="205"/>
      <c r="B30" s="58" t="s">
        <v>69</v>
      </c>
      <c r="C30" s="45" t="s">
        <v>48</v>
      </c>
      <c r="D30" s="46"/>
      <c r="E30" s="47"/>
      <c r="F30" s="48">
        <f>F29-H29</f>
        <v>30</v>
      </c>
      <c r="G30" s="49">
        <f>G29+(50000/209)</f>
        <v>11049.234449760766</v>
      </c>
      <c r="H30" s="50"/>
      <c r="I30" s="51">
        <f>-(G29*H29)*8</f>
        <v>0</v>
      </c>
      <c r="J30" s="52">
        <f>ROUND(J29*G30*1.5,-1)</f>
        <v>894990</v>
      </c>
      <c r="K30" s="49">
        <f>ROUND(K29*G30*1.5,-1)</f>
        <v>0</v>
      </c>
      <c r="L30" s="49">
        <f>ROUNDDOWN(G30*L29*0.5,-1)</f>
        <v>430920</v>
      </c>
      <c r="M30" s="52">
        <f>ROUND(M29*G30*1.5,-1)</f>
        <v>497220</v>
      </c>
      <c r="N30" s="49">
        <f>ROUND(N29*G30*0.5,-1)</f>
        <v>33150</v>
      </c>
      <c r="O30" s="53">
        <f>ROUND(-1*O29*G29,0)</f>
        <v>0</v>
      </c>
      <c r="P30" s="52">
        <f>50000</f>
        <v>50000</v>
      </c>
      <c r="Q30" s="49"/>
      <c r="R30" s="76"/>
      <c r="S30" s="54">
        <f>SUM(I30:R30,I29,P29,Q29,R29,S29)</f>
        <v>4165570</v>
      </c>
      <c r="T30" s="55">
        <f>ROUNDDOWN(T29*10%,-1)</f>
        <v>21730</v>
      </c>
      <c r="U30" s="49">
        <v>199920</v>
      </c>
      <c r="V30" s="56"/>
      <c r="W30" s="54">
        <f>S30-W29</f>
        <v>3527860</v>
      </c>
    </row>
    <row r="31" spans="1:23" ht="20.25" customHeight="1">
      <c r="A31" s="204">
        <v>14</v>
      </c>
      <c r="B31" s="192" t="s">
        <v>70</v>
      </c>
      <c r="C31" s="193"/>
      <c r="D31" s="28">
        <v>711027</v>
      </c>
      <c r="E31" s="29" t="s">
        <v>46</v>
      </c>
      <c r="F31" s="30">
        <f>$F$5</f>
        <v>30</v>
      </c>
      <c r="G31" s="31">
        <v>10510</v>
      </c>
      <c r="H31" s="32"/>
      <c r="I31" s="33">
        <f>(G31*209)</f>
        <v>2196590</v>
      </c>
      <c r="J31" s="34">
        <v>66.5</v>
      </c>
      <c r="K31" s="35"/>
      <c r="L31" s="34">
        <v>48</v>
      </c>
      <c r="M31" s="34">
        <v>40</v>
      </c>
      <c r="N31" s="34">
        <v>8</v>
      </c>
      <c r="O31" s="36"/>
      <c r="P31" s="77">
        <f>G32*8*0</f>
        <v>0</v>
      </c>
      <c r="Q31" s="38"/>
      <c r="R31" s="39"/>
      <c r="S31" s="42"/>
      <c r="T31" s="41">
        <v>217320</v>
      </c>
      <c r="U31" s="31">
        <f>165510</f>
        <v>165510</v>
      </c>
      <c r="V31" s="31">
        <f>INT(S32*0.9%/10)*10</f>
        <v>37520</v>
      </c>
      <c r="W31" s="42">
        <f>SUM(T31:V32)</f>
        <v>640010</v>
      </c>
    </row>
    <row r="32" spans="1:23" ht="20.25" customHeight="1">
      <c r="A32" s="205"/>
      <c r="B32" s="58" t="s">
        <v>62</v>
      </c>
      <c r="C32" s="45" t="s">
        <v>48</v>
      </c>
      <c r="D32" s="78"/>
      <c r="E32" s="47"/>
      <c r="F32" s="48">
        <f>F31-H31</f>
        <v>30</v>
      </c>
      <c r="G32" s="49">
        <f>G31</f>
        <v>10510</v>
      </c>
      <c r="H32" s="50"/>
      <c r="I32" s="51">
        <f>-(G31*H31)*8</f>
        <v>0</v>
      </c>
      <c r="J32" s="52">
        <f>ROUND(J31*G32*1.5,-1)</f>
        <v>1048370</v>
      </c>
      <c r="K32" s="49">
        <f>ROUND(K31*G32*1.5,-1)</f>
        <v>0</v>
      </c>
      <c r="L32" s="49">
        <f>ROUNDDOWN(G32*L31*0.5,-1)</f>
        <v>252240</v>
      </c>
      <c r="M32" s="52">
        <f>ROUND(M31*G32*1.5,-1)</f>
        <v>630600</v>
      </c>
      <c r="N32" s="49">
        <f>ROUND(N31*G32*0.5,-1)</f>
        <v>42040</v>
      </c>
      <c r="O32" s="53">
        <f>ROUND(-1*O31*G31,0)</f>
        <v>0</v>
      </c>
      <c r="P32" s="52"/>
      <c r="Q32" s="49"/>
      <c r="R32" s="52"/>
      <c r="S32" s="59">
        <f>SUM(I32:R32,I31,P31,Q31,R31,S31)</f>
        <v>4169840</v>
      </c>
      <c r="T32" s="55">
        <f>ROUNDDOWN(T31*10%,-1)</f>
        <v>21730</v>
      </c>
      <c r="U32" s="49">
        <v>197930</v>
      </c>
      <c r="V32" s="56"/>
      <c r="W32" s="54">
        <f>S32-W31</f>
        <v>3529830</v>
      </c>
    </row>
    <row r="33" spans="1:23" s="87" customFormat="1" ht="20.25" customHeight="1">
      <c r="A33" s="204">
        <v>15</v>
      </c>
      <c r="B33" s="192" t="s">
        <v>71</v>
      </c>
      <c r="C33" s="193"/>
      <c r="D33" s="79">
        <v>820527</v>
      </c>
      <c r="E33" s="80" t="s">
        <v>72</v>
      </c>
      <c r="F33" s="81">
        <f>F31</f>
        <v>30</v>
      </c>
      <c r="G33" s="31">
        <v>10510</v>
      </c>
      <c r="H33" s="61"/>
      <c r="I33" s="33">
        <f>(G33*209)</f>
        <v>2196590</v>
      </c>
      <c r="J33" s="34">
        <v>42</v>
      </c>
      <c r="K33" s="35"/>
      <c r="L33" s="34">
        <v>76</v>
      </c>
      <c r="M33" s="34">
        <v>10</v>
      </c>
      <c r="N33" s="34">
        <v>2</v>
      </c>
      <c r="O33" s="36"/>
      <c r="P33" s="82">
        <f>G34*8*0</f>
        <v>0</v>
      </c>
      <c r="Q33" s="83"/>
      <c r="R33" s="84"/>
      <c r="S33" s="42"/>
      <c r="T33" s="85">
        <v>117440</v>
      </c>
      <c r="U33" s="86">
        <f>140090</f>
        <v>140090</v>
      </c>
      <c r="V33" s="86">
        <f>INT(S34*0.9%/10)*10</f>
        <v>30830</v>
      </c>
      <c r="W33" s="40">
        <f>SUM(T33:V34)</f>
        <v>470910</v>
      </c>
    </row>
    <row r="34" spans="1:23" s="87" customFormat="1" ht="20.25" customHeight="1">
      <c r="A34" s="205"/>
      <c r="B34" s="58" t="s">
        <v>73</v>
      </c>
      <c r="C34" s="67" t="s">
        <v>48</v>
      </c>
      <c r="D34" s="88"/>
      <c r="E34" s="89"/>
      <c r="F34" s="90">
        <f>F33-H33</f>
        <v>30</v>
      </c>
      <c r="G34" s="49">
        <f>G33</f>
        <v>10510</v>
      </c>
      <c r="H34" s="91"/>
      <c r="I34" s="92">
        <f>-(G33*H33)*8</f>
        <v>0</v>
      </c>
      <c r="J34" s="93">
        <f>ROUND(J33*G34*1.5,-1)</f>
        <v>662130</v>
      </c>
      <c r="K34" s="93">
        <f>ROUND(K33*G34*1.5,-1)</f>
        <v>0</v>
      </c>
      <c r="L34" s="93">
        <f>ROUNDDOWN(G34*L33*0.5,-1)</f>
        <v>399380</v>
      </c>
      <c r="M34" s="93">
        <f>ROUND(M33*G34*1.5,-1)</f>
        <v>157650</v>
      </c>
      <c r="N34" s="93">
        <f>ROUND(N33*G34*0.5,-1)</f>
        <v>10510</v>
      </c>
      <c r="O34" s="94">
        <f>ROUND(-1*O33*G33,0)</f>
        <v>0</v>
      </c>
      <c r="P34" s="95"/>
      <c r="Q34" s="93"/>
      <c r="R34" s="93"/>
      <c r="S34" s="54">
        <f>SUM(I34:R34,I33,P33,Q33,R33,S33)</f>
        <v>3426260</v>
      </c>
      <c r="T34" s="96">
        <f>ROUNDDOWN(T33*10%,-1)</f>
        <v>11740</v>
      </c>
      <c r="U34" s="93">
        <v>170810</v>
      </c>
      <c r="V34" s="97"/>
      <c r="W34" s="98">
        <f>S34-W33</f>
        <v>2955350</v>
      </c>
    </row>
    <row r="35" spans="1:23" s="87" customFormat="1" ht="20.25" customHeight="1">
      <c r="A35" s="204">
        <v>16</v>
      </c>
      <c r="B35" s="192" t="s">
        <v>74</v>
      </c>
      <c r="C35" s="193"/>
      <c r="D35" s="79">
        <v>830515</v>
      </c>
      <c r="E35" s="80" t="s">
        <v>75</v>
      </c>
      <c r="F35" s="81">
        <f>F33</f>
        <v>30</v>
      </c>
      <c r="G35" s="31">
        <v>10510</v>
      </c>
      <c r="H35" s="61"/>
      <c r="I35" s="33">
        <f>(G35*209)</f>
        <v>2196590</v>
      </c>
      <c r="J35" s="34">
        <v>60</v>
      </c>
      <c r="K35" s="35"/>
      <c r="L35" s="34">
        <v>52</v>
      </c>
      <c r="M35" s="34">
        <v>10</v>
      </c>
      <c r="N35" s="34">
        <v>2</v>
      </c>
      <c r="O35" s="36"/>
      <c r="P35" s="82">
        <f>G36*8*0</f>
        <v>0</v>
      </c>
      <c r="Q35" s="83"/>
      <c r="R35" s="84"/>
      <c r="S35" s="42"/>
      <c r="T35" s="85">
        <v>137000</v>
      </c>
      <c r="U35" s="31">
        <f>144410</f>
        <v>144410</v>
      </c>
      <c r="V35" s="86">
        <f>INT(S36*0.9%/10)*10</f>
        <v>32250</v>
      </c>
      <c r="W35" s="40">
        <f>SUM(T35:V36)</f>
        <v>512890</v>
      </c>
    </row>
    <row r="36" spans="1:23" s="87" customFormat="1" ht="20.25" customHeight="1">
      <c r="A36" s="205"/>
      <c r="B36" s="58" t="s">
        <v>56</v>
      </c>
      <c r="C36" s="67" t="s">
        <v>48</v>
      </c>
      <c r="D36" s="88"/>
      <c r="E36" s="89"/>
      <c r="F36" s="90">
        <f>F35-H35</f>
        <v>30</v>
      </c>
      <c r="G36" s="49">
        <f>G35</f>
        <v>10510</v>
      </c>
      <c r="H36" s="91"/>
      <c r="I36" s="92">
        <f>-(G35*H35)*8</f>
        <v>0</v>
      </c>
      <c r="J36" s="93">
        <f>ROUND(J35*G36*1.5,-1)</f>
        <v>945900</v>
      </c>
      <c r="K36" s="49">
        <f>ROUND(K35*G36*1.5,-1)</f>
        <v>0</v>
      </c>
      <c r="L36" s="93">
        <f>ROUNDDOWN(G36*L35*0.5,-1)</f>
        <v>273260</v>
      </c>
      <c r="M36" s="93">
        <f>ROUND(M35*G36*1.5,-1)</f>
        <v>157650</v>
      </c>
      <c r="N36" s="93">
        <f>ROUND(N35*G36*0.5,-1)</f>
        <v>10510</v>
      </c>
      <c r="O36" s="94">
        <f>ROUND(-1*O35*G35,0)</f>
        <v>0</v>
      </c>
      <c r="P36" s="49"/>
      <c r="Q36" s="93"/>
      <c r="R36" s="93"/>
      <c r="S36" s="54">
        <f>SUM(I36:R36,I35,P35,Q35,R35,S35)</f>
        <v>3583910</v>
      </c>
      <c r="T36" s="96">
        <f>ROUNDDOWN(T35*10%,-1)</f>
        <v>13700</v>
      </c>
      <c r="U36" s="93">
        <v>185530</v>
      </c>
      <c r="V36" s="97"/>
      <c r="W36" s="98">
        <f>S36-W35</f>
        <v>3071020</v>
      </c>
    </row>
    <row r="37" spans="1:23" ht="20.25" customHeight="1">
      <c r="A37" s="204">
        <v>17</v>
      </c>
      <c r="B37" s="206" t="s">
        <v>76</v>
      </c>
      <c r="C37" s="207"/>
      <c r="D37" s="28">
        <v>890416</v>
      </c>
      <c r="E37" s="29" t="s">
        <v>77</v>
      </c>
      <c r="F37" s="30">
        <f>F35</f>
        <v>30</v>
      </c>
      <c r="G37" s="31">
        <v>10510</v>
      </c>
      <c r="H37" s="32"/>
      <c r="I37" s="33">
        <f>(G37*209)</f>
        <v>2196590</v>
      </c>
      <c r="J37" s="34">
        <v>40</v>
      </c>
      <c r="K37" s="35"/>
      <c r="L37" s="34">
        <v>70</v>
      </c>
      <c r="M37" s="34">
        <v>30</v>
      </c>
      <c r="N37" s="34">
        <v>6</v>
      </c>
      <c r="O37" s="36">
        <v>2</v>
      </c>
      <c r="P37" s="82"/>
      <c r="Q37" s="38"/>
      <c r="R37" s="64"/>
      <c r="S37" s="42"/>
      <c r="T37" s="41">
        <v>146780</v>
      </c>
      <c r="U37" s="31">
        <f>146230</f>
        <v>146230</v>
      </c>
      <c r="V37" s="31">
        <f>INT(S38*0.9%/10)*10</f>
        <v>33100</v>
      </c>
      <c r="W37" s="42">
        <f>SUM(T37:V38)</f>
        <v>521890</v>
      </c>
    </row>
    <row r="38" spans="1:23" ht="20.25" customHeight="1">
      <c r="A38" s="205"/>
      <c r="B38" s="114" t="s">
        <v>53</v>
      </c>
      <c r="C38" s="68" t="s">
        <v>48</v>
      </c>
      <c r="D38" s="115"/>
      <c r="E38" s="69"/>
      <c r="F38" s="48">
        <f>F37-H37</f>
        <v>30</v>
      </c>
      <c r="G38" s="49">
        <f>G37</f>
        <v>10510</v>
      </c>
      <c r="H38" s="116"/>
      <c r="I38" s="51">
        <f>-(G37*H37)*8</f>
        <v>0</v>
      </c>
      <c r="J38" s="49">
        <f>ROUND(J37*G38*1.5,-1)</f>
        <v>630600</v>
      </c>
      <c r="K38" s="49">
        <f>ROUND(K37*G38*1.5,-1)</f>
        <v>0</v>
      </c>
      <c r="L38" s="49">
        <f>ROUNDDOWN(G38*L37*0.5,-1)</f>
        <v>367850</v>
      </c>
      <c r="M38" s="49">
        <f>ROUND(M37*G38*1.5,-1)</f>
        <v>472950</v>
      </c>
      <c r="N38" s="49">
        <f>ROUND(N37*G38*0.5,-1)</f>
        <v>31530</v>
      </c>
      <c r="O38" s="53">
        <f>ROUND(-1*O37*G37,0)</f>
        <v>-21020</v>
      </c>
      <c r="P38" s="49"/>
      <c r="Q38" s="49"/>
      <c r="R38" s="49"/>
      <c r="S38" s="54">
        <f>SUM(I38:R38,I37,P37,Q37,R37,S37)</f>
        <v>3678500</v>
      </c>
      <c r="T38" s="55">
        <f>ROUNDDOWN(T37*10%,-1)</f>
        <v>14670</v>
      </c>
      <c r="U38" s="49">
        <v>181110</v>
      </c>
      <c r="V38" s="56"/>
      <c r="W38" s="54">
        <f>S38-W37</f>
        <v>3156610</v>
      </c>
    </row>
    <row r="39" spans="1:23" ht="20.25" customHeight="1">
      <c r="A39" s="204">
        <v>18</v>
      </c>
      <c r="B39" s="206" t="s">
        <v>78</v>
      </c>
      <c r="C39" s="207"/>
      <c r="D39" s="28">
        <v>760228</v>
      </c>
      <c r="E39" s="29" t="s">
        <v>77</v>
      </c>
      <c r="F39" s="30">
        <f>F37</f>
        <v>30</v>
      </c>
      <c r="G39" s="31">
        <v>10510</v>
      </c>
      <c r="H39" s="32"/>
      <c r="I39" s="33">
        <f>(G39*209)</f>
        <v>2196590</v>
      </c>
      <c r="J39" s="34">
        <v>48</v>
      </c>
      <c r="K39" s="35"/>
      <c r="L39" s="34">
        <v>66</v>
      </c>
      <c r="M39" s="34">
        <v>30</v>
      </c>
      <c r="N39" s="34">
        <v>6</v>
      </c>
      <c r="O39" s="36"/>
      <c r="P39" s="82"/>
      <c r="Q39" s="38"/>
      <c r="R39" s="64"/>
      <c r="S39" s="42"/>
      <c r="T39" s="41">
        <v>174600</v>
      </c>
      <c r="U39" s="31">
        <f>141010</f>
        <v>141010</v>
      </c>
      <c r="V39" s="31">
        <f>INT(S40*0.9%/10)*10</f>
        <v>34630</v>
      </c>
      <c r="W39" s="42">
        <f>SUM(T39:V40)</f>
        <v>543350</v>
      </c>
    </row>
    <row r="40" spans="1:23" ht="20.25" customHeight="1">
      <c r="A40" s="205"/>
      <c r="B40" s="114" t="s">
        <v>73</v>
      </c>
      <c r="C40" s="68" t="s">
        <v>48</v>
      </c>
      <c r="D40" s="115"/>
      <c r="E40" s="69"/>
      <c r="F40" s="48">
        <f>F39-H39</f>
        <v>30</v>
      </c>
      <c r="G40" s="49">
        <f>G39+(25000/209)</f>
        <v>10629.617224880383</v>
      </c>
      <c r="H40" s="116"/>
      <c r="I40" s="51">
        <f>-(G39*H39)*8</f>
        <v>0</v>
      </c>
      <c r="J40" s="49">
        <f>ROUND(J39*G40*1.5,-1)</f>
        <v>765330</v>
      </c>
      <c r="K40" s="49">
        <f>ROUND(K39*G40*1.5,-1)</f>
        <v>0</v>
      </c>
      <c r="L40" s="49">
        <f>ROUNDDOWN(G40*L39*0.5,-1)</f>
        <v>350770</v>
      </c>
      <c r="M40" s="49">
        <f>ROUND(M39*G40*1.5,-1)</f>
        <v>478330</v>
      </c>
      <c r="N40" s="49">
        <f>ROUND(N39*G40*0.5,-1)</f>
        <v>31890</v>
      </c>
      <c r="O40" s="53">
        <f>ROUND(-1*O39*G39,0)</f>
        <v>0</v>
      </c>
      <c r="P40" s="49">
        <f>25000</f>
        <v>25000</v>
      </c>
      <c r="Q40" s="49"/>
      <c r="R40" s="49"/>
      <c r="S40" s="54">
        <f>SUM(I40:R40,I39,P39,Q39,R39,S39)</f>
        <v>3847910</v>
      </c>
      <c r="T40" s="55">
        <f>ROUNDDOWN(T39*10%,-1)</f>
        <v>17460</v>
      </c>
      <c r="U40" s="49">
        <v>175650</v>
      </c>
      <c r="V40" s="56"/>
      <c r="W40" s="54">
        <f>S40-W39</f>
        <v>3304560</v>
      </c>
    </row>
    <row r="41" spans="1:23" ht="20.25" customHeight="1">
      <c r="A41" s="204">
        <v>19</v>
      </c>
      <c r="B41" s="206" t="s">
        <v>79</v>
      </c>
      <c r="C41" s="207"/>
      <c r="D41" s="28">
        <v>770417</v>
      </c>
      <c r="E41" s="29" t="s">
        <v>80</v>
      </c>
      <c r="F41" s="30">
        <f>F39</f>
        <v>30</v>
      </c>
      <c r="G41" s="31">
        <v>10510</v>
      </c>
      <c r="H41" s="32"/>
      <c r="I41" s="33">
        <f>(G41*209)</f>
        <v>2196590</v>
      </c>
      <c r="J41" s="34">
        <v>16</v>
      </c>
      <c r="K41" s="35"/>
      <c r="L41" s="34">
        <v>44</v>
      </c>
      <c r="M41" s="34">
        <v>40</v>
      </c>
      <c r="N41" s="34">
        <v>8</v>
      </c>
      <c r="O41" s="36">
        <v>2</v>
      </c>
      <c r="P41" s="82"/>
      <c r="Q41" s="38"/>
      <c r="R41" s="64"/>
      <c r="S41" s="42"/>
      <c r="T41" s="41">
        <v>105210</v>
      </c>
      <c r="U41" s="31">
        <f>138630</f>
        <v>138630</v>
      </c>
      <c r="V41" s="31">
        <f>INT(S42*0.9%/10)*10</f>
        <v>29980</v>
      </c>
      <c r="W41" s="42">
        <f>SUM(T41:V42)</f>
        <v>452820</v>
      </c>
    </row>
    <row r="42" spans="1:23" ht="20.25" customHeight="1">
      <c r="A42" s="205"/>
      <c r="B42" s="114" t="s">
        <v>81</v>
      </c>
      <c r="C42" s="68" t="s">
        <v>48</v>
      </c>
      <c r="D42" s="115"/>
      <c r="E42" s="69"/>
      <c r="F42" s="48">
        <f>F41-H41</f>
        <v>30</v>
      </c>
      <c r="G42" s="49">
        <f>G41</f>
        <v>10510</v>
      </c>
      <c r="H42" s="116"/>
      <c r="I42" s="51">
        <f>-(G41*H41)*8</f>
        <v>0</v>
      </c>
      <c r="J42" s="49">
        <f>ROUND(J41*G42*1.5,-1)</f>
        <v>252240</v>
      </c>
      <c r="K42" s="49">
        <f>ROUND(K41*G42*1.5,-1)</f>
        <v>0</v>
      </c>
      <c r="L42" s="49">
        <f>ROUNDDOWN(G42*L41*0.5,-1)</f>
        <v>231220</v>
      </c>
      <c r="M42" s="49">
        <f>ROUND(M41*G42*1.5,-1)</f>
        <v>630600</v>
      </c>
      <c r="N42" s="49">
        <f>ROUND(N41*G42*0.5,-1)</f>
        <v>42040</v>
      </c>
      <c r="O42" s="53">
        <f>ROUND(-1*O41*G41,0)</f>
        <v>-21020</v>
      </c>
      <c r="P42" s="49"/>
      <c r="Q42" s="49"/>
      <c r="R42" s="49"/>
      <c r="S42" s="54">
        <f>SUM(I42:R42,I41,P41,Q41,R41,S41)</f>
        <v>3331670</v>
      </c>
      <c r="T42" s="55">
        <f>ROUNDDOWN(T41*10%,-1)</f>
        <v>10520</v>
      </c>
      <c r="U42" s="49">
        <v>168480</v>
      </c>
      <c r="V42" s="56"/>
      <c r="W42" s="54">
        <f>S42-W41</f>
        <v>2878850</v>
      </c>
    </row>
    <row r="43" spans="1:23" ht="20.25" customHeight="1">
      <c r="A43" s="204">
        <v>20</v>
      </c>
      <c r="B43" s="206" t="s">
        <v>82</v>
      </c>
      <c r="C43" s="207"/>
      <c r="D43" s="28">
        <v>850210</v>
      </c>
      <c r="E43" s="29" t="s">
        <v>83</v>
      </c>
      <c r="F43" s="30">
        <f>F41</f>
        <v>30</v>
      </c>
      <c r="G43" s="31">
        <v>10510</v>
      </c>
      <c r="H43" s="32"/>
      <c r="I43" s="33">
        <f>(G43*209)</f>
        <v>2196590</v>
      </c>
      <c r="J43" s="34">
        <v>32</v>
      </c>
      <c r="K43" s="35"/>
      <c r="L43" s="34">
        <v>78</v>
      </c>
      <c r="M43" s="34">
        <v>2</v>
      </c>
      <c r="N43" s="34"/>
      <c r="O43" s="36"/>
      <c r="P43" s="117">
        <f>G44*8*0</f>
        <v>0</v>
      </c>
      <c r="Q43" s="38"/>
      <c r="R43" s="64"/>
      <c r="S43" s="42"/>
      <c r="T43" s="41">
        <v>86330</v>
      </c>
      <c r="U43" s="31">
        <f>132600</f>
        <v>132600</v>
      </c>
      <c r="V43" s="31">
        <f>INT(S44*0.9%/10)*10</f>
        <v>28280</v>
      </c>
      <c r="W43" s="42">
        <f>SUM(T43:V44)</f>
        <v>410350</v>
      </c>
    </row>
    <row r="44" spans="1:23" ht="20.25" customHeight="1">
      <c r="A44" s="205"/>
      <c r="B44" s="114" t="s">
        <v>53</v>
      </c>
      <c r="C44" s="68" t="s">
        <v>48</v>
      </c>
      <c r="D44" s="115"/>
      <c r="E44" s="69"/>
      <c r="F44" s="48">
        <f>F43-H43</f>
        <v>30</v>
      </c>
      <c r="G44" s="49">
        <f>G43</f>
        <v>10510</v>
      </c>
      <c r="H44" s="116"/>
      <c r="I44" s="51">
        <f>-(G43*H43)*8</f>
        <v>0</v>
      </c>
      <c r="J44" s="49">
        <f>ROUND(J43*G44*1.5,-1)</f>
        <v>504480</v>
      </c>
      <c r="K44" s="49">
        <f>ROUND(K43*G44*1.5,-1)</f>
        <v>0</v>
      </c>
      <c r="L44" s="49">
        <f>ROUNDDOWN(G44*L43*0.5,-1)</f>
        <v>409890</v>
      </c>
      <c r="M44" s="49">
        <f>ROUND(M43*G44*1.5,-1)</f>
        <v>31530</v>
      </c>
      <c r="N44" s="49">
        <f>ROUND(N43*G44*0.5,-1)</f>
        <v>0</v>
      </c>
      <c r="O44" s="53">
        <f>ROUND(-1*O43*G43,0)</f>
        <v>0</v>
      </c>
      <c r="P44" s="49"/>
      <c r="Q44" s="49"/>
      <c r="R44" s="49"/>
      <c r="S44" s="54">
        <f>SUM(I44:R44,I43,P43,Q43,R43,S43)</f>
        <v>3142490</v>
      </c>
      <c r="T44" s="55">
        <f>ROUNDDOWN(T43*10%,-1)</f>
        <v>8630</v>
      </c>
      <c r="U44" s="49">
        <v>154510</v>
      </c>
      <c r="V44" s="56"/>
      <c r="W44" s="54">
        <f>S44-W43</f>
        <v>2732140</v>
      </c>
    </row>
    <row r="45" spans="1:23" ht="20.25" customHeight="1">
      <c r="A45" s="204">
        <v>21</v>
      </c>
      <c r="B45" s="206" t="s">
        <v>84</v>
      </c>
      <c r="C45" s="207"/>
      <c r="D45" s="28">
        <v>791227</v>
      </c>
      <c r="E45" s="29" t="s">
        <v>85</v>
      </c>
      <c r="F45" s="30">
        <f>F43</f>
        <v>30</v>
      </c>
      <c r="G45" s="31">
        <v>10510</v>
      </c>
      <c r="H45" s="32">
        <v>1</v>
      </c>
      <c r="I45" s="33">
        <f>(G45*209)</f>
        <v>2196590</v>
      </c>
      <c r="J45" s="34">
        <v>14</v>
      </c>
      <c r="K45" s="35"/>
      <c r="L45" s="34">
        <v>44</v>
      </c>
      <c r="M45" s="34">
        <v>30</v>
      </c>
      <c r="N45" s="34">
        <v>6</v>
      </c>
      <c r="O45" s="36"/>
      <c r="P45" s="82"/>
      <c r="Q45" s="38"/>
      <c r="R45" s="64"/>
      <c r="S45" s="42"/>
      <c r="T45" s="41">
        <v>79480</v>
      </c>
      <c r="U45" s="31">
        <f>128600</f>
        <v>128600</v>
      </c>
      <c r="V45" s="31">
        <f>INT(S46*0.9%/10)*10</f>
        <v>27620</v>
      </c>
      <c r="W45" s="42">
        <f>SUM(T45:V46)</f>
        <v>390930</v>
      </c>
    </row>
    <row r="46" spans="1:23" ht="20.25" customHeight="1">
      <c r="A46" s="205"/>
      <c r="B46" s="58" t="s">
        <v>62</v>
      </c>
      <c r="C46" s="68" t="s">
        <v>48</v>
      </c>
      <c r="D46" s="115"/>
      <c r="E46" s="69"/>
      <c r="F46" s="48">
        <f>F45-H45</f>
        <v>29</v>
      </c>
      <c r="G46" s="49">
        <f>G45</f>
        <v>10510</v>
      </c>
      <c r="H46" s="116"/>
      <c r="I46" s="51">
        <f>-(G45*H45)*8</f>
        <v>-84080</v>
      </c>
      <c r="J46" s="49">
        <f>ROUND(J45*G46*1.5,-1)</f>
        <v>220710</v>
      </c>
      <c r="K46" s="49">
        <f>ROUND(K45*G46*1.5,-1)</f>
        <v>0</v>
      </c>
      <c r="L46" s="49">
        <f>ROUNDDOWN(G46*L45*0.5,-1)</f>
        <v>231220</v>
      </c>
      <c r="M46" s="49">
        <f>ROUND(M45*G46*1.5,-1)</f>
        <v>472950</v>
      </c>
      <c r="N46" s="49">
        <f>ROUND(N45*G46*0.5,-1)</f>
        <v>31530</v>
      </c>
      <c r="O46" s="53">
        <f>ROUND(-1*O45*G45,0)</f>
        <v>0</v>
      </c>
      <c r="P46" s="49"/>
      <c r="Q46" s="49"/>
      <c r="R46" s="49"/>
      <c r="S46" s="54">
        <f>SUM(I46:R46,I45,P45,Q45,R45,S45)</f>
        <v>3068920</v>
      </c>
      <c r="T46" s="55">
        <f>ROUNDDOWN(T45*10%,-1)</f>
        <v>7940</v>
      </c>
      <c r="U46" s="49">
        <v>147290</v>
      </c>
      <c r="V46" s="56"/>
      <c r="W46" s="54">
        <f>S46-W45</f>
        <v>2677990</v>
      </c>
    </row>
    <row r="47" spans="1:23" ht="20.25" customHeight="1">
      <c r="A47" s="204">
        <v>22</v>
      </c>
      <c r="B47" s="206" t="s">
        <v>86</v>
      </c>
      <c r="C47" s="207"/>
      <c r="D47" s="28">
        <v>750101</v>
      </c>
      <c r="E47" s="29" t="s">
        <v>87</v>
      </c>
      <c r="F47" s="30">
        <f>F45</f>
        <v>30</v>
      </c>
      <c r="G47" s="31">
        <v>10510</v>
      </c>
      <c r="H47" s="32">
        <v>1</v>
      </c>
      <c r="I47" s="33">
        <f>(G47*209)</f>
        <v>2196590</v>
      </c>
      <c r="J47" s="34">
        <v>60</v>
      </c>
      <c r="K47" s="35"/>
      <c r="L47" s="34">
        <v>50</v>
      </c>
      <c r="M47" s="34">
        <v>30</v>
      </c>
      <c r="N47" s="34">
        <v>6</v>
      </c>
      <c r="O47" s="36"/>
      <c r="P47" s="118">
        <f>G48*8*0</f>
        <v>0</v>
      </c>
      <c r="Q47" s="119"/>
      <c r="R47" s="64"/>
      <c r="S47" s="42"/>
      <c r="T47" s="41">
        <v>171930</v>
      </c>
      <c r="U47" s="31">
        <f>161910</f>
        <v>161910</v>
      </c>
      <c r="V47" s="31">
        <f>INT(S48*0.9%/10)*10</f>
        <v>34430</v>
      </c>
      <c r="W47" s="42">
        <f>SUM(T47:V48)</f>
        <v>569570</v>
      </c>
    </row>
    <row r="48" spans="1:23" ht="20.25" customHeight="1">
      <c r="A48" s="205"/>
      <c r="B48" s="114" t="s">
        <v>53</v>
      </c>
      <c r="C48" s="68" t="s">
        <v>48</v>
      </c>
      <c r="D48" s="115"/>
      <c r="E48" s="69"/>
      <c r="F48" s="48">
        <f>F47-H47</f>
        <v>29</v>
      </c>
      <c r="G48" s="49">
        <f>G47</f>
        <v>10510</v>
      </c>
      <c r="H48" s="116"/>
      <c r="I48" s="51">
        <f>-(G47*H47)*8</f>
        <v>-84080</v>
      </c>
      <c r="J48" s="49">
        <f>ROUND(J47*G48*1.5,-1)</f>
        <v>945900</v>
      </c>
      <c r="K48" s="49">
        <f>ROUND(K47*G48*1.5,-1)</f>
        <v>0</v>
      </c>
      <c r="L48" s="49">
        <f>ROUNDDOWN(G48*L47*0.5,-1)</f>
        <v>262750</v>
      </c>
      <c r="M48" s="49">
        <f>ROUND(M47*G48*1.5,-1)</f>
        <v>472950</v>
      </c>
      <c r="N48" s="49">
        <f>ROUND(N47*G48*0.5,-1)</f>
        <v>31530</v>
      </c>
      <c r="O48" s="53">
        <f>ROUND(-1*O47*G47,0)</f>
        <v>0</v>
      </c>
      <c r="P48" s="49"/>
      <c r="Q48" s="49"/>
      <c r="R48" s="49"/>
      <c r="S48" s="54">
        <f>SUM(I48:R48,I47,P47,Q47,R47,S47)</f>
        <v>3825640</v>
      </c>
      <c r="T48" s="55">
        <f>ROUNDDOWN(T47*10%,-1)</f>
        <v>17190</v>
      </c>
      <c r="U48" s="49">
        <v>184110</v>
      </c>
      <c r="V48" s="56"/>
      <c r="W48" s="54">
        <f>S48-W47</f>
        <v>3256070</v>
      </c>
    </row>
    <row r="49" spans="1:23" ht="20.25" customHeight="1">
      <c r="A49" s="204">
        <v>23</v>
      </c>
      <c r="B49" s="206" t="s">
        <v>88</v>
      </c>
      <c r="C49" s="207"/>
      <c r="D49" s="28">
        <v>860702</v>
      </c>
      <c r="E49" s="29" t="s">
        <v>89</v>
      </c>
      <c r="F49" s="30">
        <f>F45</f>
        <v>30</v>
      </c>
      <c r="G49" s="31">
        <v>10510</v>
      </c>
      <c r="H49" s="32"/>
      <c r="I49" s="33">
        <f>(G49*209)</f>
        <v>2196590</v>
      </c>
      <c r="J49" s="34">
        <v>48</v>
      </c>
      <c r="K49" s="35"/>
      <c r="L49" s="34">
        <v>44</v>
      </c>
      <c r="M49" s="34">
        <v>34</v>
      </c>
      <c r="N49" s="34">
        <v>2</v>
      </c>
      <c r="O49" s="36">
        <v>4</v>
      </c>
      <c r="P49" s="118">
        <f>G50*8*0</f>
        <v>0</v>
      </c>
      <c r="Q49" s="119"/>
      <c r="R49" s="64"/>
      <c r="S49" s="42"/>
      <c r="T49" s="41">
        <v>149220</v>
      </c>
      <c r="U49" s="31">
        <f>145500</f>
        <v>145500</v>
      </c>
      <c r="V49" s="31">
        <f>INT(S50*0.9%/10)*10</f>
        <v>33200</v>
      </c>
      <c r="W49" s="42">
        <f>SUM(T49:V50)</f>
        <v>500680</v>
      </c>
    </row>
    <row r="50" spans="1:23" ht="20.25" customHeight="1">
      <c r="A50" s="205"/>
      <c r="B50" s="114" t="s">
        <v>81</v>
      </c>
      <c r="C50" s="68" t="s">
        <v>48</v>
      </c>
      <c r="D50" s="115"/>
      <c r="E50" s="69"/>
      <c r="F50" s="48">
        <f>F49-H49</f>
        <v>30</v>
      </c>
      <c r="G50" s="49">
        <f>G49</f>
        <v>10510</v>
      </c>
      <c r="H50" s="116"/>
      <c r="I50" s="51">
        <f>-(G49*H49)*8</f>
        <v>0</v>
      </c>
      <c r="J50" s="49">
        <f>ROUND(J49*G50*1.5,-1)</f>
        <v>756720</v>
      </c>
      <c r="K50" s="49">
        <f>ROUND(K49*G50*1.5,-1)</f>
        <v>0</v>
      </c>
      <c r="L50" s="49">
        <f>ROUNDDOWN(G50*L49*0.5,-1)</f>
        <v>231220</v>
      </c>
      <c r="M50" s="49">
        <f>ROUND(M49*G50*1.5,-1)</f>
        <v>536010</v>
      </c>
      <c r="N50" s="49">
        <f>ROUND(N49*G50*0.5,-1)</f>
        <v>10510</v>
      </c>
      <c r="O50" s="53">
        <f>ROUND(-1*O49*G49,0)</f>
        <v>-42040</v>
      </c>
      <c r="P50" s="49"/>
      <c r="Q50" s="49"/>
      <c r="R50" s="49"/>
      <c r="S50" s="54">
        <f>SUM(I50:R50,I49,P49,Q49,R49,S49)</f>
        <v>3689010</v>
      </c>
      <c r="T50" s="55">
        <f>ROUNDDOWN(T49*10%,-1)</f>
        <v>14920</v>
      </c>
      <c r="U50" s="49">
        <v>157840</v>
      </c>
      <c r="V50" s="56"/>
      <c r="W50" s="54">
        <f>S50-W49</f>
        <v>3188330</v>
      </c>
    </row>
    <row r="51" spans="1:23" s="120" customFormat="1" ht="20.25" customHeight="1">
      <c r="A51" s="200">
        <v>24</v>
      </c>
      <c r="B51" s="202" t="s">
        <v>90</v>
      </c>
      <c r="C51" s="203"/>
      <c r="D51" s="161">
        <v>820406</v>
      </c>
      <c r="E51" s="162" t="s">
        <v>91</v>
      </c>
      <c r="F51" s="163">
        <v>7</v>
      </c>
      <c r="G51" s="164">
        <v>10510</v>
      </c>
      <c r="H51" s="165"/>
      <c r="I51" s="166">
        <f>(G51*209)/30*7</f>
        <v>512537.66666666669</v>
      </c>
      <c r="J51" s="167">
        <v>4</v>
      </c>
      <c r="K51" s="168"/>
      <c r="L51" s="167">
        <v>12</v>
      </c>
      <c r="M51" s="167"/>
      <c r="N51" s="167"/>
      <c r="O51" s="169"/>
      <c r="P51" s="170">
        <f>G52*8*0</f>
        <v>0</v>
      </c>
      <c r="Q51" s="171"/>
      <c r="R51" s="172"/>
      <c r="S51" s="173"/>
      <c r="T51" s="174"/>
      <c r="U51" s="175">
        <f>-39520</f>
        <v>-39520</v>
      </c>
      <c r="V51" s="164">
        <f>INT(S52*0.9%/10)*10</f>
        <v>5740</v>
      </c>
      <c r="W51" s="173">
        <f>SUM(T51:V52)</f>
        <v>-33780</v>
      </c>
    </row>
    <row r="52" spans="1:23" s="120" customFormat="1" ht="20.25" customHeight="1">
      <c r="A52" s="201"/>
      <c r="B52" s="176" t="s">
        <v>53</v>
      </c>
      <c r="C52" s="177" t="s">
        <v>48</v>
      </c>
      <c r="D52" s="178"/>
      <c r="E52" s="179" t="s">
        <v>92</v>
      </c>
      <c r="F52" s="180">
        <f>F51-H51</f>
        <v>7</v>
      </c>
      <c r="G52" s="181">
        <f>G51</f>
        <v>10510</v>
      </c>
      <c r="H52" s="182"/>
      <c r="I52" s="183">
        <f>-(G51*H51)*8</f>
        <v>0</v>
      </c>
      <c r="J52" s="181">
        <f>ROUND(J51*G52*1.5,-1)</f>
        <v>63060</v>
      </c>
      <c r="K52" s="181">
        <f>ROUND(K51*G52*1.5,-1)</f>
        <v>0</v>
      </c>
      <c r="L52" s="181">
        <f>ROUNDDOWN(G52*L51*0.5,-1)</f>
        <v>63060</v>
      </c>
      <c r="M52" s="181">
        <f>ROUND(M51*G52*1.5,-1)</f>
        <v>0</v>
      </c>
      <c r="N52" s="181">
        <f>ROUND(N51*G52*0.5,-1)</f>
        <v>0</v>
      </c>
      <c r="O52" s="184">
        <f>ROUND(-1*O51*G51,0)</f>
        <v>0</v>
      </c>
      <c r="P52" s="181"/>
      <c r="Q52" s="181"/>
      <c r="R52" s="181"/>
      <c r="S52" s="185">
        <f>SUM(I52:R52,I51,P51,Q51,R51,S51)</f>
        <v>638657.66666666674</v>
      </c>
      <c r="T52" s="186">
        <f>ROUNDDOWN(T51*10%,-1)</f>
        <v>0</v>
      </c>
      <c r="U52" s="181"/>
      <c r="V52" s="187"/>
      <c r="W52" s="185">
        <f>S52-W51</f>
        <v>672437.66666666674</v>
      </c>
    </row>
    <row r="53" spans="1:23" s="106" customFormat="1" ht="20.25" customHeight="1">
      <c r="A53" s="200">
        <v>25</v>
      </c>
      <c r="B53" s="202" t="s">
        <v>93</v>
      </c>
      <c r="C53" s="203"/>
      <c r="D53" s="161"/>
      <c r="E53" s="162" t="s">
        <v>94</v>
      </c>
      <c r="F53" s="163">
        <v>30</v>
      </c>
      <c r="G53" s="164">
        <v>10990</v>
      </c>
      <c r="H53" s="165">
        <v>1</v>
      </c>
      <c r="I53" s="166">
        <f>(G53*209)/30*29</f>
        <v>2220346.3333333335</v>
      </c>
      <c r="J53" s="167">
        <v>27</v>
      </c>
      <c r="K53" s="168"/>
      <c r="L53" s="167">
        <v>50</v>
      </c>
      <c r="M53" s="167">
        <v>40</v>
      </c>
      <c r="N53" s="167">
        <v>8</v>
      </c>
      <c r="O53" s="169"/>
      <c r="P53" s="175">
        <f>G54*8*0</f>
        <v>0</v>
      </c>
      <c r="Q53" s="188">
        <f>100000</f>
        <v>100000</v>
      </c>
      <c r="R53" s="172"/>
      <c r="S53" s="173"/>
      <c r="T53" s="174">
        <v>151670</v>
      </c>
      <c r="U53" s="175">
        <v>122020</v>
      </c>
      <c r="V53" s="164">
        <f>INT(S54*0.9%/10)*10</f>
        <v>33450</v>
      </c>
      <c r="W53" s="173">
        <f>SUM(T53:V54)</f>
        <v>464800</v>
      </c>
    </row>
    <row r="54" spans="1:23" s="106" customFormat="1" ht="20.25" customHeight="1">
      <c r="A54" s="201"/>
      <c r="B54" s="176" t="s">
        <v>64</v>
      </c>
      <c r="C54" s="177"/>
      <c r="D54" s="178"/>
      <c r="E54" s="179"/>
      <c r="F54" s="180">
        <f>F53-H53</f>
        <v>29</v>
      </c>
      <c r="G54" s="181">
        <f>G53+(100000/209)</f>
        <v>11468.468899521531</v>
      </c>
      <c r="H54" s="182"/>
      <c r="I54" s="183">
        <f>-(G53*H53)*8</f>
        <v>-87920</v>
      </c>
      <c r="J54" s="181">
        <f>ROUND(J53*G54*1.5,-1)</f>
        <v>464470</v>
      </c>
      <c r="K54" s="181">
        <f>ROUND(K53*G54*1.5,-1)</f>
        <v>0</v>
      </c>
      <c r="L54" s="181">
        <f>ROUNDDOWN(G54*L53*0.5,-1)</f>
        <v>286710</v>
      </c>
      <c r="M54" s="181">
        <f>ROUND(M53*G54*1.5,-1)</f>
        <v>688110</v>
      </c>
      <c r="N54" s="181">
        <f>ROUND(N53*G54*0.5,-1)</f>
        <v>45870</v>
      </c>
      <c r="O54" s="184">
        <f>ROUND(-1*O53*G53,0)</f>
        <v>0</v>
      </c>
      <c r="P54" s="181"/>
      <c r="Q54" s="181"/>
      <c r="R54" s="181"/>
      <c r="S54" s="185">
        <f>SUM(I54:R54,I53,P53,Q53,R53,S53)</f>
        <v>3717586.3333333335</v>
      </c>
      <c r="T54" s="186">
        <f>ROUNDDOWN(T53*10%,-1)</f>
        <v>15160</v>
      </c>
      <c r="U54" s="189">
        <v>142500</v>
      </c>
      <c r="V54" s="187"/>
      <c r="W54" s="185">
        <f>S54-W53</f>
        <v>3252786.3333333335</v>
      </c>
    </row>
    <row r="55" spans="1:23" s="106" customFormat="1" ht="20.25" customHeight="1">
      <c r="A55" s="200">
        <v>26</v>
      </c>
      <c r="B55" s="202" t="s">
        <v>95</v>
      </c>
      <c r="C55" s="203"/>
      <c r="D55" s="161"/>
      <c r="E55" s="162" t="s">
        <v>96</v>
      </c>
      <c r="F55" s="163">
        <v>10</v>
      </c>
      <c r="G55" s="164">
        <v>10510</v>
      </c>
      <c r="H55" s="165"/>
      <c r="I55" s="166">
        <f>(G55*209)/30*10</f>
        <v>732196.66666666674</v>
      </c>
      <c r="J55" s="167">
        <v>0</v>
      </c>
      <c r="K55" s="168"/>
      <c r="L55" s="167">
        <v>18</v>
      </c>
      <c r="M55" s="167">
        <v>0</v>
      </c>
      <c r="N55" s="167">
        <v>0</v>
      </c>
      <c r="O55" s="169"/>
      <c r="P55" s="175">
        <f>G56*8*0</f>
        <v>0</v>
      </c>
      <c r="Q55" s="188"/>
      <c r="R55" s="172"/>
      <c r="S55" s="173"/>
      <c r="T55" s="174"/>
      <c r="U55" s="164"/>
      <c r="V55" s="164">
        <f>INT(S56*0.9%/10)*10</f>
        <v>7440</v>
      </c>
      <c r="W55" s="173">
        <f>SUM(T55:V56)</f>
        <v>7440</v>
      </c>
    </row>
    <row r="56" spans="1:23" s="106" customFormat="1" ht="20.25" customHeight="1">
      <c r="A56" s="201"/>
      <c r="B56" s="176" t="s">
        <v>53</v>
      </c>
      <c r="C56" s="177"/>
      <c r="D56" s="178"/>
      <c r="E56" s="179"/>
      <c r="F56" s="180">
        <f>F55-H55</f>
        <v>10</v>
      </c>
      <c r="G56" s="181">
        <f>G55</f>
        <v>10510</v>
      </c>
      <c r="H56" s="182"/>
      <c r="I56" s="183">
        <f>-(G55*H55)*8</f>
        <v>0</v>
      </c>
      <c r="J56" s="181">
        <f>ROUND(J55*G56*1.5,-1)</f>
        <v>0</v>
      </c>
      <c r="K56" s="181">
        <f>ROUND(K55*G56*1.5,-1)</f>
        <v>0</v>
      </c>
      <c r="L56" s="181">
        <f>ROUNDDOWN(G56*L55*0.5,-1)</f>
        <v>94590</v>
      </c>
      <c r="M56" s="181">
        <f>ROUND(M55*G56*1.5,-1)</f>
        <v>0</v>
      </c>
      <c r="N56" s="181">
        <f>ROUND(N55*G56*0.5,-1)</f>
        <v>0</v>
      </c>
      <c r="O56" s="184">
        <f>ROUND(-1*O55*G55,0)</f>
        <v>0</v>
      </c>
      <c r="P56" s="181"/>
      <c r="Q56" s="181"/>
      <c r="R56" s="181"/>
      <c r="S56" s="185">
        <f>SUM(I56:R56,I55,P55,Q55,R55,S55)</f>
        <v>826786.66666666674</v>
      </c>
      <c r="T56" s="186">
        <f>ROUNDDOWN(T55*10%,-1)</f>
        <v>0</v>
      </c>
      <c r="U56" s="181"/>
      <c r="V56" s="187"/>
      <c r="W56" s="185">
        <f>S56-W55</f>
        <v>819346.66666666674</v>
      </c>
    </row>
    <row r="57" spans="1:23" s="87" customFormat="1" ht="20.25" customHeight="1">
      <c r="A57" s="190">
        <v>27</v>
      </c>
      <c r="B57" s="192" t="s">
        <v>97</v>
      </c>
      <c r="C57" s="193"/>
      <c r="D57" s="79">
        <v>690606</v>
      </c>
      <c r="E57" s="80" t="s">
        <v>98</v>
      </c>
      <c r="F57" s="81">
        <f>F49</f>
        <v>30</v>
      </c>
      <c r="G57" s="86">
        <v>10990</v>
      </c>
      <c r="H57" s="61"/>
      <c r="I57" s="121">
        <f>(G57*209)</f>
        <v>2296910</v>
      </c>
      <c r="J57" s="34">
        <v>32</v>
      </c>
      <c r="K57" s="35"/>
      <c r="L57" s="34">
        <v>74</v>
      </c>
      <c r="M57" s="34">
        <v>30</v>
      </c>
      <c r="N57" s="34">
        <v>6</v>
      </c>
      <c r="O57" s="36"/>
      <c r="P57" s="122">
        <f>G58*8*0</f>
        <v>0</v>
      </c>
      <c r="Q57" s="73">
        <f>100000</f>
        <v>100000</v>
      </c>
      <c r="R57" s="84"/>
      <c r="S57" s="40"/>
      <c r="T57" s="85">
        <v>185280</v>
      </c>
      <c r="U57" s="86">
        <v>122020</v>
      </c>
      <c r="V57" s="86">
        <f>INT(S58*0.9%/10)*10</f>
        <v>35290</v>
      </c>
      <c r="W57" s="40">
        <f>SUM(T57:V58)</f>
        <v>503610</v>
      </c>
    </row>
    <row r="58" spans="1:23" s="87" customFormat="1" ht="19.8" customHeight="1">
      <c r="A58" s="191"/>
      <c r="B58" s="58" t="s">
        <v>64</v>
      </c>
      <c r="C58" s="67" t="s">
        <v>65</v>
      </c>
      <c r="D58" s="88"/>
      <c r="E58" s="89"/>
      <c r="F58" s="90">
        <f>F57-H57</f>
        <v>30</v>
      </c>
      <c r="G58" s="93">
        <f>G57+(100000/209)</f>
        <v>11468.468899521531</v>
      </c>
      <c r="H58" s="91"/>
      <c r="I58" s="92">
        <f>-(G57*H57)*8</f>
        <v>0</v>
      </c>
      <c r="J58" s="93">
        <f>ROUND(J57*G58*1.5,-1)</f>
        <v>550490</v>
      </c>
      <c r="K58" s="93">
        <f>ROUND(K57*G58*1.5,-1)</f>
        <v>0</v>
      </c>
      <c r="L58" s="93">
        <f>ROUNDDOWN(G58*L57*0.5,-1)</f>
        <v>424330</v>
      </c>
      <c r="M58" s="93">
        <f>ROUND(M57*G58*1.5,-1)</f>
        <v>516080</v>
      </c>
      <c r="N58" s="93">
        <f>ROUND(N57*G58*0.5,-1)</f>
        <v>34410</v>
      </c>
      <c r="O58" s="94">
        <f>ROUND(-1*O57*G57,0)</f>
        <v>0</v>
      </c>
      <c r="P58" s="93"/>
      <c r="Q58" s="93"/>
      <c r="R58" s="93"/>
      <c r="S58" s="98">
        <f>SUM(I58:R58,I57,P57,Q57,R57,S57)</f>
        <v>3922220</v>
      </c>
      <c r="T58" s="96">
        <f>ROUNDDOWN(T57*10%,-1)</f>
        <v>18520</v>
      </c>
      <c r="U58" s="93">
        <v>142500</v>
      </c>
      <c r="V58" s="97"/>
      <c r="W58" s="98">
        <f>S58-W57</f>
        <v>3418610</v>
      </c>
    </row>
    <row r="59" spans="1:23" s="87" customFormat="1" ht="20.25" hidden="1" customHeight="1">
      <c r="A59" s="190">
        <v>28</v>
      </c>
      <c r="B59" s="192"/>
      <c r="C59" s="193"/>
      <c r="D59" s="160"/>
      <c r="E59" s="80"/>
      <c r="F59" s="81"/>
      <c r="G59" s="86"/>
      <c r="H59" s="61"/>
      <c r="I59" s="121"/>
      <c r="J59" s="34"/>
      <c r="K59" s="35"/>
      <c r="L59" s="34"/>
      <c r="M59" s="34"/>
      <c r="N59" s="34"/>
      <c r="O59" s="36"/>
      <c r="P59" s="122"/>
      <c r="Q59" s="73"/>
      <c r="R59" s="84"/>
      <c r="S59" s="40"/>
      <c r="T59" s="85"/>
      <c r="U59" s="86"/>
      <c r="V59" s="86"/>
      <c r="W59" s="40"/>
    </row>
    <row r="60" spans="1:23" s="87" customFormat="1" ht="20.25" hidden="1" customHeight="1">
      <c r="A60" s="191"/>
      <c r="B60" s="58"/>
      <c r="C60" s="67"/>
      <c r="D60" s="88"/>
      <c r="E60" s="89"/>
      <c r="F60" s="90"/>
      <c r="G60" s="93"/>
      <c r="H60" s="91"/>
      <c r="I60" s="92"/>
      <c r="J60" s="93"/>
      <c r="K60" s="93"/>
      <c r="L60" s="93"/>
      <c r="M60" s="93"/>
      <c r="N60" s="93"/>
      <c r="O60" s="94"/>
      <c r="P60" s="93"/>
      <c r="Q60" s="93"/>
      <c r="R60" s="93"/>
      <c r="S60" s="98"/>
      <c r="T60" s="96"/>
      <c r="U60" s="93"/>
      <c r="V60" s="97"/>
      <c r="W60" s="98"/>
    </row>
    <row r="61" spans="1:23" s="87" customFormat="1" ht="20.25" hidden="1" customHeight="1">
      <c r="A61" s="190">
        <v>29</v>
      </c>
      <c r="B61" s="192"/>
      <c r="C61" s="193"/>
      <c r="D61" s="160"/>
      <c r="E61" s="80"/>
      <c r="F61" s="81"/>
      <c r="G61" s="86"/>
      <c r="H61" s="61"/>
      <c r="I61" s="121"/>
      <c r="J61" s="34"/>
      <c r="K61" s="35"/>
      <c r="L61" s="34"/>
      <c r="M61" s="34"/>
      <c r="N61" s="34"/>
      <c r="O61" s="36"/>
      <c r="P61" s="122"/>
      <c r="Q61" s="73"/>
      <c r="R61" s="84"/>
      <c r="S61" s="40"/>
      <c r="T61" s="85"/>
      <c r="U61" s="86"/>
      <c r="V61" s="86"/>
      <c r="W61" s="40"/>
    </row>
    <row r="62" spans="1:23" s="87" customFormat="1" ht="20.25" hidden="1" customHeight="1">
      <c r="A62" s="191"/>
      <c r="B62" s="58"/>
      <c r="C62" s="67"/>
      <c r="D62" s="88"/>
      <c r="E62" s="89"/>
      <c r="F62" s="90"/>
      <c r="G62" s="93"/>
      <c r="H62" s="91"/>
      <c r="I62" s="92"/>
      <c r="J62" s="93"/>
      <c r="K62" s="93"/>
      <c r="L62" s="93"/>
      <c r="M62" s="93"/>
      <c r="N62" s="93"/>
      <c r="O62" s="94"/>
      <c r="P62" s="93"/>
      <c r="Q62" s="93"/>
      <c r="R62" s="93"/>
      <c r="S62" s="98"/>
      <c r="T62" s="96"/>
      <c r="U62" s="93"/>
      <c r="V62" s="97"/>
      <c r="W62" s="98"/>
    </row>
    <row r="63" spans="1:23" s="87" customFormat="1" ht="20.25" hidden="1" customHeight="1">
      <c r="A63" s="190">
        <v>30</v>
      </c>
      <c r="B63" s="192"/>
      <c r="C63" s="193"/>
      <c r="D63" s="160"/>
      <c r="E63" s="80"/>
      <c r="F63" s="81"/>
      <c r="G63" s="86"/>
      <c r="H63" s="61"/>
      <c r="I63" s="121"/>
      <c r="J63" s="34"/>
      <c r="K63" s="35"/>
      <c r="L63" s="34"/>
      <c r="M63" s="34"/>
      <c r="N63" s="34"/>
      <c r="O63" s="36"/>
      <c r="P63" s="122"/>
      <c r="Q63" s="73"/>
      <c r="R63" s="84"/>
      <c r="S63" s="40"/>
      <c r="T63" s="85"/>
      <c r="U63" s="86"/>
      <c r="V63" s="86"/>
      <c r="W63" s="40"/>
    </row>
    <row r="64" spans="1:23" s="87" customFormat="1" ht="20.25" hidden="1" customHeight="1">
      <c r="A64" s="191"/>
      <c r="B64" s="58"/>
      <c r="C64" s="67"/>
      <c r="D64" s="88"/>
      <c r="E64" s="89"/>
      <c r="F64" s="90"/>
      <c r="G64" s="93"/>
      <c r="H64" s="91"/>
      <c r="I64" s="92"/>
      <c r="J64" s="93"/>
      <c r="K64" s="93"/>
      <c r="L64" s="93"/>
      <c r="M64" s="93"/>
      <c r="N64" s="93"/>
      <c r="O64" s="94"/>
      <c r="P64" s="93"/>
      <c r="Q64" s="93"/>
      <c r="R64" s="93"/>
      <c r="S64" s="98"/>
      <c r="T64" s="96"/>
      <c r="U64" s="93"/>
      <c r="V64" s="97"/>
      <c r="W64" s="98"/>
    </row>
    <row r="65" spans="1:23" s="87" customFormat="1" ht="20.25" hidden="1" customHeight="1">
      <c r="A65" s="190">
        <v>31</v>
      </c>
      <c r="B65" s="192"/>
      <c r="C65" s="193"/>
      <c r="D65" s="160"/>
      <c r="E65" s="80"/>
      <c r="F65" s="81"/>
      <c r="G65" s="86"/>
      <c r="H65" s="61"/>
      <c r="I65" s="121"/>
      <c r="J65" s="34"/>
      <c r="K65" s="35"/>
      <c r="L65" s="34"/>
      <c r="M65" s="34"/>
      <c r="N65" s="34"/>
      <c r="O65" s="36"/>
      <c r="P65" s="122"/>
      <c r="Q65" s="73"/>
      <c r="R65" s="84"/>
      <c r="S65" s="40"/>
      <c r="T65" s="85"/>
      <c r="U65" s="86"/>
      <c r="V65" s="86"/>
      <c r="W65" s="40"/>
    </row>
    <row r="66" spans="1:23" s="87" customFormat="1" ht="20.25" hidden="1" customHeight="1">
      <c r="A66" s="191"/>
      <c r="B66" s="58"/>
      <c r="C66" s="67"/>
      <c r="D66" s="88"/>
      <c r="E66" s="89"/>
      <c r="F66" s="90"/>
      <c r="G66" s="93"/>
      <c r="H66" s="91"/>
      <c r="I66" s="92"/>
      <c r="J66" s="93"/>
      <c r="K66" s="93"/>
      <c r="L66" s="93"/>
      <c r="M66" s="93"/>
      <c r="N66" s="93"/>
      <c r="O66" s="94"/>
      <c r="P66" s="93"/>
      <c r="Q66" s="93"/>
      <c r="R66" s="93"/>
      <c r="S66" s="98"/>
      <c r="T66" s="96"/>
      <c r="U66" s="93"/>
      <c r="V66" s="97"/>
      <c r="W66" s="98"/>
    </row>
    <row r="67" spans="1:23" s="87" customFormat="1" ht="20.25" hidden="1" customHeight="1">
      <c r="A67" s="190">
        <v>32</v>
      </c>
      <c r="B67" s="192"/>
      <c r="C67" s="193"/>
      <c r="D67" s="160"/>
      <c r="E67" s="80"/>
      <c r="F67" s="81"/>
      <c r="G67" s="86"/>
      <c r="H67" s="61"/>
      <c r="I67" s="121"/>
      <c r="J67" s="34"/>
      <c r="K67" s="35"/>
      <c r="L67" s="34"/>
      <c r="M67" s="34"/>
      <c r="N67" s="34"/>
      <c r="O67" s="36"/>
      <c r="P67" s="122"/>
      <c r="Q67" s="73"/>
      <c r="R67" s="84"/>
      <c r="S67" s="40"/>
      <c r="T67" s="85"/>
      <c r="U67" s="86"/>
      <c r="V67" s="86"/>
      <c r="W67" s="40"/>
    </row>
    <row r="68" spans="1:23" s="87" customFormat="1" ht="20.25" hidden="1" customHeight="1">
      <c r="A68" s="191"/>
      <c r="B68" s="58"/>
      <c r="C68" s="67"/>
      <c r="D68" s="88"/>
      <c r="E68" s="89"/>
      <c r="F68" s="90"/>
      <c r="G68" s="93"/>
      <c r="H68" s="91"/>
      <c r="I68" s="92"/>
      <c r="J68" s="93"/>
      <c r="K68" s="93"/>
      <c r="L68" s="93"/>
      <c r="M68" s="93"/>
      <c r="N68" s="93"/>
      <c r="O68" s="94"/>
      <c r="P68" s="93"/>
      <c r="Q68" s="93"/>
      <c r="R68" s="93"/>
      <c r="S68" s="98"/>
      <c r="T68" s="96"/>
      <c r="U68" s="93"/>
      <c r="V68" s="97"/>
      <c r="W68" s="98"/>
    </row>
    <row r="69" spans="1:23" s="87" customFormat="1" ht="20.25" hidden="1" customHeight="1">
      <c r="A69" s="190">
        <v>33</v>
      </c>
      <c r="B69" s="192"/>
      <c r="C69" s="193"/>
      <c r="D69" s="160"/>
      <c r="E69" s="80"/>
      <c r="F69" s="81"/>
      <c r="G69" s="86"/>
      <c r="H69" s="61"/>
      <c r="I69" s="121"/>
      <c r="J69" s="34"/>
      <c r="K69" s="35"/>
      <c r="L69" s="34"/>
      <c r="M69" s="34"/>
      <c r="N69" s="34"/>
      <c r="O69" s="36"/>
      <c r="P69" s="122"/>
      <c r="Q69" s="73"/>
      <c r="R69" s="84"/>
      <c r="S69" s="40"/>
      <c r="T69" s="85"/>
      <c r="U69" s="86"/>
      <c r="V69" s="86"/>
      <c r="W69" s="40"/>
    </row>
    <row r="70" spans="1:23" s="87" customFormat="1" ht="20.25" hidden="1" customHeight="1">
      <c r="A70" s="191"/>
      <c r="B70" s="58"/>
      <c r="C70" s="67"/>
      <c r="D70" s="88"/>
      <c r="E70" s="89"/>
      <c r="F70" s="90"/>
      <c r="G70" s="93"/>
      <c r="H70" s="91"/>
      <c r="I70" s="92"/>
      <c r="J70" s="93"/>
      <c r="K70" s="93"/>
      <c r="L70" s="93"/>
      <c r="M70" s="93"/>
      <c r="N70" s="93"/>
      <c r="O70" s="94"/>
      <c r="P70" s="93"/>
      <c r="Q70" s="93"/>
      <c r="R70" s="93"/>
      <c r="S70" s="98"/>
      <c r="T70" s="96"/>
      <c r="U70" s="93"/>
      <c r="V70" s="97"/>
      <c r="W70" s="98"/>
    </row>
    <row r="71" spans="1:23" s="87" customFormat="1" ht="20.25" hidden="1" customHeight="1">
      <c r="A71" s="190">
        <v>34</v>
      </c>
      <c r="B71" s="192"/>
      <c r="C71" s="193"/>
      <c r="D71" s="160"/>
      <c r="E71" s="80"/>
      <c r="F71" s="81"/>
      <c r="G71" s="86"/>
      <c r="H71" s="61"/>
      <c r="I71" s="121"/>
      <c r="J71" s="34"/>
      <c r="K71" s="35"/>
      <c r="L71" s="34"/>
      <c r="M71" s="34"/>
      <c r="N71" s="34"/>
      <c r="O71" s="36"/>
      <c r="P71" s="122"/>
      <c r="Q71" s="73"/>
      <c r="R71" s="84"/>
      <c r="S71" s="40"/>
      <c r="T71" s="85"/>
      <c r="U71" s="86"/>
      <c r="V71" s="86"/>
      <c r="W71" s="40"/>
    </row>
    <row r="72" spans="1:23" s="87" customFormat="1" ht="20.25" hidden="1" customHeight="1">
      <c r="A72" s="191"/>
      <c r="B72" s="58"/>
      <c r="C72" s="67"/>
      <c r="D72" s="88"/>
      <c r="E72" s="89"/>
      <c r="F72" s="90"/>
      <c r="G72" s="93"/>
      <c r="H72" s="91"/>
      <c r="I72" s="92"/>
      <c r="J72" s="93"/>
      <c r="K72" s="93"/>
      <c r="L72" s="93"/>
      <c r="M72" s="93"/>
      <c r="N72" s="93"/>
      <c r="O72" s="94"/>
      <c r="P72" s="93"/>
      <c r="Q72" s="93"/>
      <c r="R72" s="93"/>
      <c r="S72" s="98"/>
      <c r="T72" s="96"/>
      <c r="U72" s="93"/>
      <c r="V72" s="97"/>
      <c r="W72" s="98"/>
    </row>
    <row r="73" spans="1:23" s="87" customFormat="1" ht="20.25" hidden="1" customHeight="1">
      <c r="A73" s="190">
        <v>35</v>
      </c>
      <c r="B73" s="192"/>
      <c r="C73" s="193"/>
      <c r="D73" s="160"/>
      <c r="E73" s="80"/>
      <c r="F73" s="81"/>
      <c r="G73" s="86"/>
      <c r="H73" s="61"/>
      <c r="I73" s="121"/>
      <c r="J73" s="34"/>
      <c r="K73" s="35"/>
      <c r="L73" s="34"/>
      <c r="M73" s="34"/>
      <c r="N73" s="34"/>
      <c r="O73" s="36"/>
      <c r="P73" s="122"/>
      <c r="Q73" s="73"/>
      <c r="R73" s="84"/>
      <c r="S73" s="40"/>
      <c r="T73" s="85"/>
      <c r="U73" s="86"/>
      <c r="V73" s="86"/>
      <c r="W73" s="40"/>
    </row>
    <row r="74" spans="1:23" s="87" customFormat="1" ht="20.25" hidden="1" customHeight="1">
      <c r="A74" s="191"/>
      <c r="B74" s="58"/>
      <c r="C74" s="67"/>
      <c r="D74" s="88"/>
      <c r="E74" s="89"/>
      <c r="F74" s="90"/>
      <c r="G74" s="93"/>
      <c r="H74" s="91"/>
      <c r="I74" s="92"/>
      <c r="J74" s="93"/>
      <c r="K74" s="93"/>
      <c r="L74" s="93"/>
      <c r="M74" s="93"/>
      <c r="N74" s="93"/>
      <c r="O74" s="94"/>
      <c r="P74" s="93"/>
      <c r="Q74" s="93"/>
      <c r="R74" s="93"/>
      <c r="S74" s="98"/>
      <c r="T74" s="96"/>
      <c r="U74" s="93"/>
      <c r="V74" s="97"/>
      <c r="W74" s="98"/>
    </row>
    <row r="75" spans="1:23" s="87" customFormat="1" ht="20.25" hidden="1" customHeight="1">
      <c r="A75" s="190">
        <v>36</v>
      </c>
      <c r="B75" s="192"/>
      <c r="C75" s="193"/>
      <c r="D75" s="160"/>
      <c r="E75" s="80"/>
      <c r="F75" s="81"/>
      <c r="G75" s="86"/>
      <c r="H75" s="61"/>
      <c r="I75" s="121"/>
      <c r="J75" s="34"/>
      <c r="K75" s="35"/>
      <c r="L75" s="34"/>
      <c r="M75" s="34"/>
      <c r="N75" s="34"/>
      <c r="O75" s="36"/>
      <c r="P75" s="122"/>
      <c r="Q75" s="73"/>
      <c r="R75" s="84"/>
      <c r="S75" s="40"/>
      <c r="T75" s="85"/>
      <c r="U75" s="86"/>
      <c r="V75" s="86"/>
      <c r="W75" s="40"/>
    </row>
    <row r="76" spans="1:23" s="87" customFormat="1" ht="20.25" hidden="1" customHeight="1">
      <c r="A76" s="191"/>
      <c r="B76" s="58"/>
      <c r="C76" s="67"/>
      <c r="D76" s="88"/>
      <c r="E76" s="89"/>
      <c r="F76" s="90"/>
      <c r="G76" s="93"/>
      <c r="H76" s="91"/>
      <c r="I76" s="92"/>
      <c r="J76" s="93"/>
      <c r="K76" s="93"/>
      <c r="L76" s="93"/>
      <c r="M76" s="93"/>
      <c r="N76" s="93"/>
      <c r="O76" s="94"/>
      <c r="P76" s="93"/>
      <c r="Q76" s="93"/>
      <c r="R76" s="93"/>
      <c r="S76" s="98"/>
      <c r="T76" s="96"/>
      <c r="U76" s="93"/>
      <c r="V76" s="97"/>
      <c r="W76" s="98"/>
    </row>
    <row r="77" spans="1:23" s="87" customFormat="1" ht="20.25" hidden="1" customHeight="1">
      <c r="A77" s="190">
        <v>37</v>
      </c>
      <c r="B77" s="192"/>
      <c r="C77" s="193"/>
      <c r="D77" s="160"/>
      <c r="E77" s="80"/>
      <c r="F77" s="81"/>
      <c r="G77" s="86"/>
      <c r="H77" s="61"/>
      <c r="I77" s="121"/>
      <c r="J77" s="34"/>
      <c r="K77" s="35"/>
      <c r="L77" s="34"/>
      <c r="M77" s="34"/>
      <c r="N77" s="34"/>
      <c r="O77" s="36"/>
      <c r="P77" s="122"/>
      <c r="Q77" s="73"/>
      <c r="R77" s="84"/>
      <c r="S77" s="40"/>
      <c r="T77" s="85"/>
      <c r="U77" s="86"/>
      <c r="V77" s="86"/>
      <c r="W77" s="40"/>
    </row>
    <row r="78" spans="1:23" s="87" customFormat="1" ht="20.25" hidden="1" customHeight="1">
      <c r="A78" s="191"/>
      <c r="B78" s="58"/>
      <c r="C78" s="67"/>
      <c r="D78" s="88"/>
      <c r="E78" s="89"/>
      <c r="F78" s="90"/>
      <c r="G78" s="93"/>
      <c r="H78" s="91"/>
      <c r="I78" s="92"/>
      <c r="J78" s="93"/>
      <c r="K78" s="93"/>
      <c r="L78" s="93"/>
      <c r="M78" s="93"/>
      <c r="N78" s="93"/>
      <c r="O78" s="94"/>
      <c r="P78" s="93"/>
      <c r="Q78" s="93"/>
      <c r="R78" s="93"/>
      <c r="S78" s="98"/>
      <c r="T78" s="96"/>
      <c r="U78" s="93"/>
      <c r="V78" s="97"/>
      <c r="W78" s="98"/>
    </row>
    <row r="79" spans="1:23" s="87" customFormat="1" ht="20.25" hidden="1" customHeight="1">
      <c r="A79" s="190">
        <v>38</v>
      </c>
      <c r="B79" s="192"/>
      <c r="C79" s="193"/>
      <c r="D79" s="160"/>
      <c r="E79" s="80"/>
      <c r="F79" s="81"/>
      <c r="G79" s="86"/>
      <c r="H79" s="61"/>
      <c r="I79" s="121"/>
      <c r="J79" s="34"/>
      <c r="K79" s="35"/>
      <c r="L79" s="34"/>
      <c r="M79" s="34"/>
      <c r="N79" s="34"/>
      <c r="O79" s="36"/>
      <c r="P79" s="122"/>
      <c r="Q79" s="73"/>
      <c r="R79" s="84"/>
      <c r="S79" s="40"/>
      <c r="T79" s="85"/>
      <c r="U79" s="86"/>
      <c r="V79" s="86"/>
      <c r="W79" s="40"/>
    </row>
    <row r="80" spans="1:23" s="87" customFormat="1" ht="20.25" hidden="1" customHeight="1">
      <c r="A80" s="191"/>
      <c r="B80" s="58"/>
      <c r="C80" s="67"/>
      <c r="D80" s="88"/>
      <c r="E80" s="89"/>
      <c r="F80" s="90"/>
      <c r="G80" s="93"/>
      <c r="H80" s="91"/>
      <c r="I80" s="92"/>
      <c r="J80" s="93"/>
      <c r="K80" s="93"/>
      <c r="L80" s="93"/>
      <c r="M80" s="93"/>
      <c r="N80" s="93"/>
      <c r="O80" s="94"/>
      <c r="P80" s="93"/>
      <c r="Q80" s="93"/>
      <c r="R80" s="93"/>
      <c r="S80" s="98"/>
      <c r="T80" s="96"/>
      <c r="U80" s="93"/>
      <c r="V80" s="97"/>
      <c r="W80" s="98"/>
    </row>
    <row r="81" spans="1:23" s="87" customFormat="1" ht="20.25" hidden="1" customHeight="1">
      <c r="A81" s="190">
        <v>39</v>
      </c>
      <c r="B81" s="192"/>
      <c r="C81" s="193"/>
      <c r="D81" s="160"/>
      <c r="E81" s="80"/>
      <c r="F81" s="81"/>
      <c r="G81" s="86"/>
      <c r="H81" s="61"/>
      <c r="I81" s="121"/>
      <c r="J81" s="34"/>
      <c r="K81" s="35"/>
      <c r="L81" s="34"/>
      <c r="M81" s="34"/>
      <c r="N81" s="34"/>
      <c r="O81" s="36"/>
      <c r="P81" s="122"/>
      <c r="Q81" s="73"/>
      <c r="R81" s="84"/>
      <c r="S81" s="40"/>
      <c r="T81" s="85"/>
      <c r="U81" s="86"/>
      <c r="V81" s="86"/>
      <c r="W81" s="40"/>
    </row>
    <row r="82" spans="1:23" s="87" customFormat="1" ht="20.25" hidden="1" customHeight="1">
      <c r="A82" s="191"/>
      <c r="B82" s="58"/>
      <c r="C82" s="67"/>
      <c r="D82" s="88"/>
      <c r="E82" s="89"/>
      <c r="F82" s="90"/>
      <c r="G82" s="93"/>
      <c r="H82" s="91"/>
      <c r="I82" s="92"/>
      <c r="J82" s="93"/>
      <c r="K82" s="93"/>
      <c r="L82" s="93"/>
      <c r="M82" s="93"/>
      <c r="N82" s="93"/>
      <c r="O82" s="94"/>
      <c r="P82" s="93"/>
      <c r="Q82" s="93"/>
      <c r="R82" s="93"/>
      <c r="S82" s="98"/>
      <c r="T82" s="96"/>
      <c r="U82" s="93"/>
      <c r="V82" s="97"/>
      <c r="W82" s="98"/>
    </row>
    <row r="83" spans="1:23" s="87" customFormat="1" ht="20.25" hidden="1" customHeight="1">
      <c r="A83" s="190">
        <v>40</v>
      </c>
      <c r="B83" s="192"/>
      <c r="C83" s="193"/>
      <c r="D83" s="160"/>
      <c r="E83" s="80"/>
      <c r="F83" s="81"/>
      <c r="G83" s="86"/>
      <c r="H83" s="61"/>
      <c r="I83" s="121"/>
      <c r="J83" s="34"/>
      <c r="K83" s="35"/>
      <c r="L83" s="34"/>
      <c r="M83" s="34"/>
      <c r="N83" s="34"/>
      <c r="O83" s="36"/>
      <c r="P83" s="122"/>
      <c r="Q83" s="73"/>
      <c r="R83" s="84"/>
      <c r="S83" s="40"/>
      <c r="T83" s="85"/>
      <c r="U83" s="86"/>
      <c r="V83" s="86"/>
      <c r="W83" s="40"/>
    </row>
    <row r="84" spans="1:23" s="87" customFormat="1" ht="20.25" hidden="1" customHeight="1">
      <c r="A84" s="191"/>
      <c r="B84" s="58"/>
      <c r="C84" s="67"/>
      <c r="D84" s="88"/>
      <c r="E84" s="89"/>
      <c r="F84" s="90"/>
      <c r="G84" s="93"/>
      <c r="H84" s="91"/>
      <c r="I84" s="92"/>
      <c r="J84" s="93"/>
      <c r="K84" s="93"/>
      <c r="L84" s="93"/>
      <c r="M84" s="93"/>
      <c r="N84" s="93"/>
      <c r="O84" s="94"/>
      <c r="P84" s="93"/>
      <c r="Q84" s="93"/>
      <c r="R84" s="93"/>
      <c r="S84" s="98"/>
      <c r="T84" s="96"/>
      <c r="U84" s="93"/>
      <c r="V84" s="97"/>
      <c r="W84" s="98"/>
    </row>
    <row r="85" spans="1:23" s="87" customFormat="1" ht="20.25" hidden="1" customHeight="1">
      <c r="A85" s="190">
        <v>41</v>
      </c>
      <c r="B85" s="192"/>
      <c r="C85" s="193"/>
      <c r="D85" s="160"/>
      <c r="E85" s="80"/>
      <c r="F85" s="81"/>
      <c r="G85" s="86"/>
      <c r="H85" s="61"/>
      <c r="I85" s="121"/>
      <c r="J85" s="34"/>
      <c r="K85" s="35"/>
      <c r="L85" s="34"/>
      <c r="M85" s="34"/>
      <c r="N85" s="34"/>
      <c r="O85" s="36"/>
      <c r="P85" s="122"/>
      <c r="Q85" s="73"/>
      <c r="R85" s="84"/>
      <c r="S85" s="40"/>
      <c r="T85" s="85"/>
      <c r="U85" s="86"/>
      <c r="V85" s="86"/>
      <c r="W85" s="40"/>
    </row>
    <row r="86" spans="1:23" s="87" customFormat="1" ht="20.25" hidden="1" customHeight="1">
      <c r="A86" s="191"/>
      <c r="B86" s="58"/>
      <c r="C86" s="67"/>
      <c r="D86" s="88"/>
      <c r="E86" s="89"/>
      <c r="F86" s="90"/>
      <c r="G86" s="93"/>
      <c r="H86" s="91"/>
      <c r="I86" s="92"/>
      <c r="J86" s="93"/>
      <c r="K86" s="93"/>
      <c r="L86" s="93"/>
      <c r="M86" s="93"/>
      <c r="N86" s="93"/>
      <c r="O86" s="94"/>
      <c r="P86" s="93"/>
      <c r="Q86" s="93"/>
      <c r="R86" s="93"/>
      <c r="S86" s="98"/>
      <c r="T86" s="96"/>
      <c r="U86" s="93"/>
      <c r="V86" s="97"/>
      <c r="W86" s="98"/>
    </row>
    <row r="87" spans="1:23" s="87" customFormat="1" ht="20.25" hidden="1" customHeight="1">
      <c r="A87" s="190">
        <v>42</v>
      </c>
      <c r="B87" s="192"/>
      <c r="C87" s="193"/>
      <c r="D87" s="160"/>
      <c r="E87" s="80"/>
      <c r="F87" s="81"/>
      <c r="G87" s="86"/>
      <c r="H87" s="61"/>
      <c r="I87" s="121"/>
      <c r="J87" s="34"/>
      <c r="K87" s="35"/>
      <c r="L87" s="34"/>
      <c r="M87" s="34"/>
      <c r="N87" s="34"/>
      <c r="O87" s="36"/>
      <c r="P87" s="122"/>
      <c r="Q87" s="73"/>
      <c r="R87" s="84"/>
      <c r="S87" s="40"/>
      <c r="T87" s="85"/>
      <c r="U87" s="86"/>
      <c r="V87" s="86"/>
      <c r="W87" s="40"/>
    </row>
    <row r="88" spans="1:23" s="87" customFormat="1" ht="20.25" hidden="1" customHeight="1">
      <c r="A88" s="191"/>
      <c r="B88" s="58"/>
      <c r="C88" s="67"/>
      <c r="D88" s="88"/>
      <c r="E88" s="89"/>
      <c r="F88" s="90"/>
      <c r="G88" s="93"/>
      <c r="H88" s="91"/>
      <c r="I88" s="92"/>
      <c r="J88" s="93"/>
      <c r="K88" s="93"/>
      <c r="L88" s="93"/>
      <c r="M88" s="93"/>
      <c r="N88" s="93"/>
      <c r="O88" s="94"/>
      <c r="P88" s="93"/>
      <c r="Q88" s="93"/>
      <c r="R88" s="93"/>
      <c r="S88" s="98"/>
      <c r="T88" s="96"/>
      <c r="U88" s="93"/>
      <c r="V88" s="97"/>
      <c r="W88" s="98"/>
    </row>
    <row r="89" spans="1:23" s="87" customFormat="1" ht="20.25" hidden="1" customHeight="1">
      <c r="A89" s="190">
        <v>43</v>
      </c>
      <c r="B89" s="192"/>
      <c r="C89" s="193"/>
      <c r="D89" s="160"/>
      <c r="E89" s="80"/>
      <c r="F89" s="81"/>
      <c r="G89" s="86"/>
      <c r="H89" s="61"/>
      <c r="I89" s="121"/>
      <c r="J89" s="34"/>
      <c r="K89" s="35"/>
      <c r="L89" s="34"/>
      <c r="M89" s="34"/>
      <c r="N89" s="34"/>
      <c r="O89" s="36"/>
      <c r="P89" s="122"/>
      <c r="Q89" s="73"/>
      <c r="R89" s="84"/>
      <c r="S89" s="40"/>
      <c r="T89" s="85"/>
      <c r="U89" s="86"/>
      <c r="V89" s="86"/>
      <c r="W89" s="40"/>
    </row>
    <row r="90" spans="1:23" s="87" customFormat="1" ht="20.25" hidden="1" customHeight="1" thickBot="1">
      <c r="A90" s="191"/>
      <c r="B90" s="58"/>
      <c r="C90" s="67"/>
      <c r="D90" s="88"/>
      <c r="E90" s="89"/>
      <c r="F90" s="90"/>
      <c r="G90" s="93"/>
      <c r="H90" s="91"/>
      <c r="I90" s="92"/>
      <c r="J90" s="93"/>
      <c r="K90" s="93"/>
      <c r="L90" s="93"/>
      <c r="M90" s="93"/>
      <c r="N90" s="93"/>
      <c r="O90" s="94"/>
      <c r="P90" s="93"/>
      <c r="Q90" s="93"/>
      <c r="R90" s="93"/>
      <c r="S90" s="98"/>
      <c r="T90" s="96"/>
      <c r="U90" s="93"/>
      <c r="V90" s="97"/>
      <c r="W90" s="98"/>
    </row>
    <row r="91" spans="1:23" s="106" customFormat="1" ht="20.25" customHeight="1">
      <c r="A91" s="194" t="s">
        <v>119</v>
      </c>
      <c r="B91" s="195"/>
      <c r="C91" s="195"/>
      <c r="D91" s="195"/>
      <c r="E91" s="196"/>
      <c r="F91" s="99">
        <f t="shared" ref="F91:W91" si="0">SUM(F57,F55,F53,F51,F49,F47,F45,F43,F41,F39,F37,F35,F33,F31,F29,F27,F25,F23,F21,F19,F17,F15,F13,F11,F9,F7,F5,F59,F61,F63,F65,F67,F69,F71,F73,F75,F77,F79,F81,F83,F85,F87,F89)</f>
        <v>767</v>
      </c>
      <c r="G91" s="100">
        <f>SUM(G57,G55,G53,G51,G49,G47,G45,G43,G41,G39,G37,G35,G33,G31,G29,G27,G25,G23,G21,G19,G17,G15,G13,G11,G9,G7,G5,G59,G61,G63,G65,G67,G69,G71,G73,G75,G77,G79,G81,G83,G85,G87,G89)</f>
        <v>286290</v>
      </c>
      <c r="H91" s="101">
        <f t="shared" ref="H91:W91" si="1">SUM(H57,H55,H53,H51,H49,H47,H45,H43,H41,H39,H37,H35,H33,H31,H29,H27,H25,H23,H21,H19,H17,H15,H13,H11,H9,H7,H5,H59,H61,H63,H65,H67,H69,H71,H73,H75,H77,H79,H81,H83,H85,H87,H89)</f>
        <v>3</v>
      </c>
      <c r="I91" s="102">
        <f t="shared" si="1"/>
        <v>56609600.666666672</v>
      </c>
      <c r="J91" s="124">
        <f t="shared" si="1"/>
        <v>1184</v>
      </c>
      <c r="K91" s="124">
        <f t="shared" si="1"/>
        <v>0</v>
      </c>
      <c r="L91" s="124">
        <f t="shared" si="1"/>
        <v>1388</v>
      </c>
      <c r="M91" s="124">
        <f t="shared" si="1"/>
        <v>805.5</v>
      </c>
      <c r="N91" s="102">
        <f t="shared" si="1"/>
        <v>153.5</v>
      </c>
      <c r="O91" s="101">
        <f t="shared" si="1"/>
        <v>15</v>
      </c>
      <c r="P91" s="125">
        <f t="shared" si="1"/>
        <v>0</v>
      </c>
      <c r="Q91" s="102">
        <f t="shared" si="1"/>
        <v>300000</v>
      </c>
      <c r="R91" s="103">
        <f t="shared" si="1"/>
        <v>0</v>
      </c>
      <c r="S91" s="104">
        <f t="shared" si="1"/>
        <v>0</v>
      </c>
      <c r="T91" s="105">
        <f t="shared" si="1"/>
        <v>4376960</v>
      </c>
      <c r="U91" s="102">
        <f t="shared" si="1"/>
        <v>3719380</v>
      </c>
      <c r="V91" s="103">
        <f t="shared" si="1"/>
        <v>878690</v>
      </c>
      <c r="W91" s="104">
        <f t="shared" si="1"/>
        <v>13740640</v>
      </c>
    </row>
    <row r="92" spans="1:23" s="106" customFormat="1" ht="20.25" customHeight="1" thickBot="1">
      <c r="A92" s="197"/>
      <c r="B92" s="198"/>
      <c r="C92" s="198"/>
      <c r="D92" s="198"/>
      <c r="E92" s="199"/>
      <c r="F92" s="107">
        <f t="shared" ref="F92:W92" si="2">SUM(F58,F56,F54,F52,F50,F48,F46,F44,F42,F40,F38,F36,F34,F32,F30,F28,F26,F24,F22,F20,F18,F16,F14,F12,F10,F8,F6,F60,F62,F64,F66,F68,F70,F72,F74,F76,F78,F80,F82,F84,F86,F88,F90)</f>
        <v>764</v>
      </c>
      <c r="G92" s="108">
        <f>SUM(G58,G56,G54,G52,G50,G48,G46,G44,G42,G40,G38,G36,G34,G32,G30,G28,G26,G24,G22,G20,G18,G16,G14,G12,G10,G8,G6,G60,G62,G64,G66,G68,G70,G72,G74,G76,G78,G80,G82,G84,G86,G88,G90)</f>
        <v>290835.45454545453</v>
      </c>
      <c r="H92" s="109">
        <f t="shared" ref="H92:W92" si="3">SUM(H58,H56,H54,H52,H50,H48,H46,H44,H42,H40,H38,H36,H34,H32,H30,H28,H26,H24,H22,H20,H18,H16,H14,H12,H10,H8,H6,H60,H62,H64,H66,H68,H70,H72,H74,H76,H78,H80,H82,H84,H86,H88,H90)</f>
        <v>0</v>
      </c>
      <c r="I92" s="109">
        <f t="shared" si="3"/>
        <v>-256080</v>
      </c>
      <c r="J92" s="109">
        <f t="shared" si="3"/>
        <v>19137480</v>
      </c>
      <c r="K92" s="109">
        <f t="shared" si="3"/>
        <v>0</v>
      </c>
      <c r="L92" s="109">
        <f t="shared" si="3"/>
        <v>7429660</v>
      </c>
      <c r="M92" s="109">
        <f t="shared" si="3"/>
        <v>13100890</v>
      </c>
      <c r="N92" s="109">
        <f t="shared" si="3"/>
        <v>832710</v>
      </c>
      <c r="O92" s="109">
        <f t="shared" si="3"/>
        <v>-157650</v>
      </c>
      <c r="P92" s="109">
        <f t="shared" si="3"/>
        <v>650000</v>
      </c>
      <c r="Q92" s="109">
        <f t="shared" si="3"/>
        <v>0</v>
      </c>
      <c r="R92" s="110">
        <f t="shared" si="3"/>
        <v>0</v>
      </c>
      <c r="S92" s="111">
        <f t="shared" si="3"/>
        <v>97646610.666666657</v>
      </c>
      <c r="T92" s="112">
        <f t="shared" si="3"/>
        <v>437590</v>
      </c>
      <c r="U92" s="109">
        <f t="shared" si="3"/>
        <v>4328020</v>
      </c>
      <c r="V92" s="113">
        <f t="shared" si="3"/>
        <v>0</v>
      </c>
      <c r="W92" s="111">
        <f t="shared" si="3"/>
        <v>83905970.666666672</v>
      </c>
    </row>
  </sheetData>
  <mergeCells count="92">
    <mergeCell ref="B69:C69"/>
    <mergeCell ref="A71:A72"/>
    <mergeCell ref="B71:C71"/>
    <mergeCell ref="A73:A74"/>
    <mergeCell ref="B73:C73"/>
    <mergeCell ref="B4:C4"/>
    <mergeCell ref="A5:A6"/>
    <mergeCell ref="B5:C5"/>
    <mergeCell ref="G1:S2"/>
    <mergeCell ref="U1:W2"/>
    <mergeCell ref="A2:F2"/>
    <mergeCell ref="B3:C3"/>
    <mergeCell ref="A7:A8"/>
    <mergeCell ref="B7:C7"/>
    <mergeCell ref="A9:A10"/>
    <mergeCell ref="B9:C9"/>
    <mergeCell ref="A11:A12"/>
    <mergeCell ref="B11:C11"/>
    <mergeCell ref="A13:A14"/>
    <mergeCell ref="B13:C13"/>
    <mergeCell ref="A15:A16"/>
    <mergeCell ref="B15:C15"/>
    <mergeCell ref="A17:A18"/>
    <mergeCell ref="B17:C17"/>
    <mergeCell ref="A19:A20"/>
    <mergeCell ref="B19:C19"/>
    <mergeCell ref="A21:A22"/>
    <mergeCell ref="B21:C21"/>
    <mergeCell ref="A23:A24"/>
    <mergeCell ref="B23:C23"/>
    <mergeCell ref="A25:A26"/>
    <mergeCell ref="B25:C25"/>
    <mergeCell ref="A27:A28"/>
    <mergeCell ref="B27:C27"/>
    <mergeCell ref="A29:A30"/>
    <mergeCell ref="B29:C29"/>
    <mergeCell ref="A35:A36"/>
    <mergeCell ref="B35:C35"/>
    <mergeCell ref="A31:A32"/>
    <mergeCell ref="B31:C31"/>
    <mergeCell ref="A33:A34"/>
    <mergeCell ref="B33:C33"/>
    <mergeCell ref="A37:A38"/>
    <mergeCell ref="B37:C37"/>
    <mergeCell ref="A39:A40"/>
    <mergeCell ref="B39:C39"/>
    <mergeCell ref="A41:A42"/>
    <mergeCell ref="B41:C41"/>
    <mergeCell ref="A43:A44"/>
    <mergeCell ref="B43:C43"/>
    <mergeCell ref="A45:A46"/>
    <mergeCell ref="B45:C45"/>
    <mergeCell ref="A47:A48"/>
    <mergeCell ref="B47:C47"/>
    <mergeCell ref="A49:A50"/>
    <mergeCell ref="B49:C49"/>
    <mergeCell ref="A51:A52"/>
    <mergeCell ref="B51:C51"/>
    <mergeCell ref="A91:E92"/>
    <mergeCell ref="A53:A54"/>
    <mergeCell ref="B53:C53"/>
    <mergeCell ref="A55:A56"/>
    <mergeCell ref="B55:C55"/>
    <mergeCell ref="A89:A90"/>
    <mergeCell ref="B89:C89"/>
    <mergeCell ref="A87:A88"/>
    <mergeCell ref="B87:C87"/>
    <mergeCell ref="A83:A84"/>
    <mergeCell ref="B83:C83"/>
    <mergeCell ref="A85:A86"/>
    <mergeCell ref="B85:C85"/>
    <mergeCell ref="A75:A76"/>
    <mergeCell ref="B75:C75"/>
    <mergeCell ref="A77:A78"/>
    <mergeCell ref="B77:C77"/>
    <mergeCell ref="A57:A58"/>
    <mergeCell ref="B57:C57"/>
    <mergeCell ref="A79:A80"/>
    <mergeCell ref="B79:C79"/>
    <mergeCell ref="A81:A82"/>
    <mergeCell ref="B81:C81"/>
    <mergeCell ref="A59:A60"/>
    <mergeCell ref="B59:C59"/>
    <mergeCell ref="A61:A62"/>
    <mergeCell ref="B61:C61"/>
    <mergeCell ref="A63:A64"/>
    <mergeCell ref="B63:C63"/>
    <mergeCell ref="A65:A66"/>
    <mergeCell ref="B65:C65"/>
    <mergeCell ref="A67:A68"/>
    <mergeCell ref="B67:C67"/>
    <mergeCell ref="A69:A70"/>
  </mergeCells>
  <phoneticPr fontId="3" type="noConversion"/>
  <printOptions horizontalCentered="1"/>
  <pageMargins left="0.39370078740157483" right="0" top="0.62992125984251968" bottom="0.35433070866141736" header="0" footer="0"/>
  <pageSetup paperSize="9" scale="65" orientation="landscape" r:id="rId1"/>
  <headerFooter alignWithMargins="0"/>
  <rowBreaks count="1" manualBreakCount="1">
    <brk id="34" max="2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C331-E48A-4944-B34D-3A1E36D89BCD}">
  <sheetPr>
    <pageSetUpPr fitToPage="1"/>
  </sheetPr>
  <dimension ref="A1:W68"/>
  <sheetViews>
    <sheetView view="pageBreakPreview" zoomScale="115" zoomScaleNormal="100" zoomScaleSheetLayoutView="115" workbookViewId="0">
      <pane ySplit="3" topLeftCell="A4" activePane="bottomLeft" state="frozen"/>
      <selection activeCell="N12" sqref="N12"/>
      <selection pane="bottomLeft" activeCell="N12" sqref="N12"/>
    </sheetView>
  </sheetViews>
  <sheetFormatPr defaultColWidth="8.8984375" defaultRowHeight="17.399999999999999"/>
  <cols>
    <col min="1" max="1" width="4.8984375" style="5" customWidth="1"/>
    <col min="2" max="2" width="10.69921875" style="5" customWidth="1"/>
    <col min="3" max="5" width="5.8984375" style="5" customWidth="1"/>
    <col min="6" max="7" width="11.296875" style="5" customWidth="1"/>
    <col min="8" max="8" width="12.296875" style="5" customWidth="1"/>
    <col min="9" max="9" width="8.19921875" style="5" bestFit="1" customWidth="1"/>
    <col min="10" max="10" width="11.59765625" style="5" bestFit="1" customWidth="1"/>
    <col min="11" max="11" width="8.8984375" style="5" bestFit="1" customWidth="1"/>
    <col min="12" max="12" width="8.296875" style="5" customWidth="1"/>
    <col min="13" max="13" width="11.09765625" style="5" bestFit="1" customWidth="1"/>
    <col min="14" max="256" width="8.8984375" style="5"/>
    <col min="257" max="257" width="4.8984375" style="5" customWidth="1"/>
    <col min="258" max="258" width="10.69921875" style="5" customWidth="1"/>
    <col min="259" max="261" width="5.8984375" style="5" customWidth="1"/>
    <col min="262" max="263" width="11.296875" style="5" customWidth="1"/>
    <col min="264" max="264" width="12.296875" style="5" customWidth="1"/>
    <col min="265" max="265" width="8.19921875" style="5" bestFit="1" customWidth="1"/>
    <col min="266" max="266" width="11.59765625" style="5" bestFit="1" customWidth="1"/>
    <col min="267" max="267" width="8.8984375" style="5" bestFit="1"/>
    <col min="268" max="268" width="8.296875" style="5" customWidth="1"/>
    <col min="269" max="269" width="11.09765625" style="5" bestFit="1" customWidth="1"/>
    <col min="270" max="512" width="8.8984375" style="5"/>
    <col min="513" max="513" width="4.8984375" style="5" customWidth="1"/>
    <col min="514" max="514" width="10.69921875" style="5" customWidth="1"/>
    <col min="515" max="517" width="5.8984375" style="5" customWidth="1"/>
    <col min="518" max="519" width="11.296875" style="5" customWidth="1"/>
    <col min="520" max="520" width="12.296875" style="5" customWidth="1"/>
    <col min="521" max="521" width="8.19921875" style="5" bestFit="1" customWidth="1"/>
    <col min="522" max="522" width="11.59765625" style="5" bestFit="1" customWidth="1"/>
    <col min="523" max="523" width="8.8984375" style="5" bestFit="1"/>
    <col min="524" max="524" width="8.296875" style="5" customWidth="1"/>
    <col min="525" max="525" width="11.09765625" style="5" bestFit="1" customWidth="1"/>
    <col min="526" max="768" width="8.8984375" style="5"/>
    <col min="769" max="769" width="4.8984375" style="5" customWidth="1"/>
    <col min="770" max="770" width="10.69921875" style="5" customWidth="1"/>
    <col min="771" max="773" width="5.8984375" style="5" customWidth="1"/>
    <col min="774" max="775" width="11.296875" style="5" customWidth="1"/>
    <col min="776" max="776" width="12.296875" style="5" customWidth="1"/>
    <col min="777" max="777" width="8.19921875" style="5" bestFit="1" customWidth="1"/>
    <col min="778" max="778" width="11.59765625" style="5" bestFit="1" customWidth="1"/>
    <col min="779" max="779" width="8.8984375" style="5" bestFit="1"/>
    <col min="780" max="780" width="8.296875" style="5" customWidth="1"/>
    <col min="781" max="781" width="11.09765625" style="5" bestFit="1" customWidth="1"/>
    <col min="782" max="1024" width="8.8984375" style="5"/>
    <col min="1025" max="1025" width="4.8984375" style="5" customWidth="1"/>
    <col min="1026" max="1026" width="10.69921875" style="5" customWidth="1"/>
    <col min="1027" max="1029" width="5.8984375" style="5" customWidth="1"/>
    <col min="1030" max="1031" width="11.296875" style="5" customWidth="1"/>
    <col min="1032" max="1032" width="12.296875" style="5" customWidth="1"/>
    <col min="1033" max="1033" width="8.19921875" style="5" bestFit="1" customWidth="1"/>
    <col min="1034" max="1034" width="11.59765625" style="5" bestFit="1" customWidth="1"/>
    <col min="1035" max="1035" width="8.8984375" style="5" bestFit="1"/>
    <col min="1036" max="1036" width="8.296875" style="5" customWidth="1"/>
    <col min="1037" max="1037" width="11.09765625" style="5" bestFit="1" customWidth="1"/>
    <col min="1038" max="1280" width="8.8984375" style="5"/>
    <col min="1281" max="1281" width="4.8984375" style="5" customWidth="1"/>
    <col min="1282" max="1282" width="10.69921875" style="5" customWidth="1"/>
    <col min="1283" max="1285" width="5.8984375" style="5" customWidth="1"/>
    <col min="1286" max="1287" width="11.296875" style="5" customWidth="1"/>
    <col min="1288" max="1288" width="12.296875" style="5" customWidth="1"/>
    <col min="1289" max="1289" width="8.19921875" style="5" bestFit="1" customWidth="1"/>
    <col min="1290" max="1290" width="11.59765625" style="5" bestFit="1" customWidth="1"/>
    <col min="1291" max="1291" width="8.8984375" style="5" bestFit="1"/>
    <col min="1292" max="1292" width="8.296875" style="5" customWidth="1"/>
    <col min="1293" max="1293" width="11.09765625" style="5" bestFit="1" customWidth="1"/>
    <col min="1294" max="1536" width="8.8984375" style="5"/>
    <col min="1537" max="1537" width="4.8984375" style="5" customWidth="1"/>
    <col min="1538" max="1538" width="10.69921875" style="5" customWidth="1"/>
    <col min="1539" max="1541" width="5.8984375" style="5" customWidth="1"/>
    <col min="1542" max="1543" width="11.296875" style="5" customWidth="1"/>
    <col min="1544" max="1544" width="12.296875" style="5" customWidth="1"/>
    <col min="1545" max="1545" width="8.19921875" style="5" bestFit="1" customWidth="1"/>
    <col min="1546" max="1546" width="11.59765625" style="5" bestFit="1" customWidth="1"/>
    <col min="1547" max="1547" width="8.8984375" style="5" bestFit="1"/>
    <col min="1548" max="1548" width="8.296875" style="5" customWidth="1"/>
    <col min="1549" max="1549" width="11.09765625" style="5" bestFit="1" customWidth="1"/>
    <col min="1550" max="1792" width="8.8984375" style="5"/>
    <col min="1793" max="1793" width="4.8984375" style="5" customWidth="1"/>
    <col min="1794" max="1794" width="10.69921875" style="5" customWidth="1"/>
    <col min="1795" max="1797" width="5.8984375" style="5" customWidth="1"/>
    <col min="1798" max="1799" width="11.296875" style="5" customWidth="1"/>
    <col min="1800" max="1800" width="12.296875" style="5" customWidth="1"/>
    <col min="1801" max="1801" width="8.19921875" style="5" bestFit="1" customWidth="1"/>
    <col min="1802" max="1802" width="11.59765625" style="5" bestFit="1" customWidth="1"/>
    <col min="1803" max="1803" width="8.8984375" style="5" bestFit="1"/>
    <col min="1804" max="1804" width="8.296875" style="5" customWidth="1"/>
    <col min="1805" max="1805" width="11.09765625" style="5" bestFit="1" customWidth="1"/>
    <col min="1806" max="2048" width="8.8984375" style="5"/>
    <col min="2049" max="2049" width="4.8984375" style="5" customWidth="1"/>
    <col min="2050" max="2050" width="10.69921875" style="5" customWidth="1"/>
    <col min="2051" max="2053" width="5.8984375" style="5" customWidth="1"/>
    <col min="2054" max="2055" width="11.296875" style="5" customWidth="1"/>
    <col min="2056" max="2056" width="12.296875" style="5" customWidth="1"/>
    <col min="2057" max="2057" width="8.19921875" style="5" bestFit="1" customWidth="1"/>
    <col min="2058" max="2058" width="11.59765625" style="5" bestFit="1" customWidth="1"/>
    <col min="2059" max="2059" width="8.8984375" style="5" bestFit="1"/>
    <col min="2060" max="2060" width="8.296875" style="5" customWidth="1"/>
    <col min="2061" max="2061" width="11.09765625" style="5" bestFit="1" customWidth="1"/>
    <col min="2062" max="2304" width="8.8984375" style="5"/>
    <col min="2305" max="2305" width="4.8984375" style="5" customWidth="1"/>
    <col min="2306" max="2306" width="10.69921875" style="5" customWidth="1"/>
    <col min="2307" max="2309" width="5.8984375" style="5" customWidth="1"/>
    <col min="2310" max="2311" width="11.296875" style="5" customWidth="1"/>
    <col min="2312" max="2312" width="12.296875" style="5" customWidth="1"/>
    <col min="2313" max="2313" width="8.19921875" style="5" bestFit="1" customWidth="1"/>
    <col min="2314" max="2314" width="11.59765625" style="5" bestFit="1" customWidth="1"/>
    <col min="2315" max="2315" width="8.8984375" style="5" bestFit="1"/>
    <col min="2316" max="2316" width="8.296875" style="5" customWidth="1"/>
    <col min="2317" max="2317" width="11.09765625" style="5" bestFit="1" customWidth="1"/>
    <col min="2318" max="2560" width="8.8984375" style="5"/>
    <col min="2561" max="2561" width="4.8984375" style="5" customWidth="1"/>
    <col min="2562" max="2562" width="10.69921875" style="5" customWidth="1"/>
    <col min="2563" max="2565" width="5.8984375" style="5" customWidth="1"/>
    <col min="2566" max="2567" width="11.296875" style="5" customWidth="1"/>
    <col min="2568" max="2568" width="12.296875" style="5" customWidth="1"/>
    <col min="2569" max="2569" width="8.19921875" style="5" bestFit="1" customWidth="1"/>
    <col min="2570" max="2570" width="11.59765625" style="5" bestFit="1" customWidth="1"/>
    <col min="2571" max="2571" width="8.8984375" style="5" bestFit="1"/>
    <col min="2572" max="2572" width="8.296875" style="5" customWidth="1"/>
    <col min="2573" max="2573" width="11.09765625" style="5" bestFit="1" customWidth="1"/>
    <col min="2574" max="2816" width="8.8984375" style="5"/>
    <col min="2817" max="2817" width="4.8984375" style="5" customWidth="1"/>
    <col min="2818" max="2818" width="10.69921875" style="5" customWidth="1"/>
    <col min="2819" max="2821" width="5.8984375" style="5" customWidth="1"/>
    <col min="2822" max="2823" width="11.296875" style="5" customWidth="1"/>
    <col min="2824" max="2824" width="12.296875" style="5" customWidth="1"/>
    <col min="2825" max="2825" width="8.19921875" style="5" bestFit="1" customWidth="1"/>
    <col min="2826" max="2826" width="11.59765625" style="5" bestFit="1" customWidth="1"/>
    <col min="2827" max="2827" width="8.8984375" style="5" bestFit="1"/>
    <col min="2828" max="2828" width="8.296875" style="5" customWidth="1"/>
    <col min="2829" max="2829" width="11.09765625" style="5" bestFit="1" customWidth="1"/>
    <col min="2830" max="3072" width="8.8984375" style="5"/>
    <col min="3073" max="3073" width="4.8984375" style="5" customWidth="1"/>
    <col min="3074" max="3074" width="10.69921875" style="5" customWidth="1"/>
    <col min="3075" max="3077" width="5.8984375" style="5" customWidth="1"/>
    <col min="3078" max="3079" width="11.296875" style="5" customWidth="1"/>
    <col min="3080" max="3080" width="12.296875" style="5" customWidth="1"/>
    <col min="3081" max="3081" width="8.19921875" style="5" bestFit="1" customWidth="1"/>
    <col min="3082" max="3082" width="11.59765625" style="5" bestFit="1" customWidth="1"/>
    <col min="3083" max="3083" width="8.8984375" style="5" bestFit="1"/>
    <col min="3084" max="3084" width="8.296875" style="5" customWidth="1"/>
    <col min="3085" max="3085" width="11.09765625" style="5" bestFit="1" customWidth="1"/>
    <col min="3086" max="3328" width="8.8984375" style="5"/>
    <col min="3329" max="3329" width="4.8984375" style="5" customWidth="1"/>
    <col min="3330" max="3330" width="10.69921875" style="5" customWidth="1"/>
    <col min="3331" max="3333" width="5.8984375" style="5" customWidth="1"/>
    <col min="3334" max="3335" width="11.296875" style="5" customWidth="1"/>
    <col min="3336" max="3336" width="12.296875" style="5" customWidth="1"/>
    <col min="3337" max="3337" width="8.19921875" style="5" bestFit="1" customWidth="1"/>
    <col min="3338" max="3338" width="11.59765625" style="5" bestFit="1" customWidth="1"/>
    <col min="3339" max="3339" width="8.8984375" style="5" bestFit="1"/>
    <col min="3340" max="3340" width="8.296875" style="5" customWidth="1"/>
    <col min="3341" max="3341" width="11.09765625" style="5" bestFit="1" customWidth="1"/>
    <col min="3342" max="3584" width="8.8984375" style="5"/>
    <col min="3585" max="3585" width="4.8984375" style="5" customWidth="1"/>
    <col min="3586" max="3586" width="10.69921875" style="5" customWidth="1"/>
    <col min="3587" max="3589" width="5.8984375" style="5" customWidth="1"/>
    <col min="3590" max="3591" width="11.296875" style="5" customWidth="1"/>
    <col min="3592" max="3592" width="12.296875" style="5" customWidth="1"/>
    <col min="3593" max="3593" width="8.19921875" style="5" bestFit="1" customWidth="1"/>
    <col min="3594" max="3594" width="11.59765625" style="5" bestFit="1" customWidth="1"/>
    <col min="3595" max="3595" width="8.8984375" style="5" bestFit="1"/>
    <col min="3596" max="3596" width="8.296875" style="5" customWidth="1"/>
    <col min="3597" max="3597" width="11.09765625" style="5" bestFit="1" customWidth="1"/>
    <col min="3598" max="3840" width="8.8984375" style="5"/>
    <col min="3841" max="3841" width="4.8984375" style="5" customWidth="1"/>
    <col min="3842" max="3842" width="10.69921875" style="5" customWidth="1"/>
    <col min="3843" max="3845" width="5.8984375" style="5" customWidth="1"/>
    <col min="3846" max="3847" width="11.296875" style="5" customWidth="1"/>
    <col min="3848" max="3848" width="12.296875" style="5" customWidth="1"/>
    <col min="3849" max="3849" width="8.19921875" style="5" bestFit="1" customWidth="1"/>
    <col min="3850" max="3850" width="11.59765625" style="5" bestFit="1" customWidth="1"/>
    <col min="3851" max="3851" width="8.8984375" style="5" bestFit="1"/>
    <col min="3852" max="3852" width="8.296875" style="5" customWidth="1"/>
    <col min="3853" max="3853" width="11.09765625" style="5" bestFit="1" customWidth="1"/>
    <col min="3854" max="4096" width="8.8984375" style="5"/>
    <col min="4097" max="4097" width="4.8984375" style="5" customWidth="1"/>
    <col min="4098" max="4098" width="10.69921875" style="5" customWidth="1"/>
    <col min="4099" max="4101" width="5.8984375" style="5" customWidth="1"/>
    <col min="4102" max="4103" width="11.296875" style="5" customWidth="1"/>
    <col min="4104" max="4104" width="12.296875" style="5" customWidth="1"/>
    <col min="4105" max="4105" width="8.19921875" style="5" bestFit="1" customWidth="1"/>
    <col min="4106" max="4106" width="11.59765625" style="5" bestFit="1" customWidth="1"/>
    <col min="4107" max="4107" width="8.8984375" style="5" bestFit="1"/>
    <col min="4108" max="4108" width="8.296875" style="5" customWidth="1"/>
    <col min="4109" max="4109" width="11.09765625" style="5" bestFit="1" customWidth="1"/>
    <col min="4110" max="4352" width="8.8984375" style="5"/>
    <col min="4353" max="4353" width="4.8984375" style="5" customWidth="1"/>
    <col min="4354" max="4354" width="10.69921875" style="5" customWidth="1"/>
    <col min="4355" max="4357" width="5.8984375" style="5" customWidth="1"/>
    <col min="4358" max="4359" width="11.296875" style="5" customWidth="1"/>
    <col min="4360" max="4360" width="12.296875" style="5" customWidth="1"/>
    <col min="4361" max="4361" width="8.19921875" style="5" bestFit="1" customWidth="1"/>
    <col min="4362" max="4362" width="11.59765625" style="5" bestFit="1" customWidth="1"/>
    <col min="4363" max="4363" width="8.8984375" style="5" bestFit="1"/>
    <col min="4364" max="4364" width="8.296875" style="5" customWidth="1"/>
    <col min="4365" max="4365" width="11.09765625" style="5" bestFit="1" customWidth="1"/>
    <col min="4366" max="4608" width="8.8984375" style="5"/>
    <col min="4609" max="4609" width="4.8984375" style="5" customWidth="1"/>
    <col min="4610" max="4610" width="10.69921875" style="5" customWidth="1"/>
    <col min="4611" max="4613" width="5.8984375" style="5" customWidth="1"/>
    <col min="4614" max="4615" width="11.296875" style="5" customWidth="1"/>
    <col min="4616" max="4616" width="12.296875" style="5" customWidth="1"/>
    <col min="4617" max="4617" width="8.19921875" style="5" bestFit="1" customWidth="1"/>
    <col min="4618" max="4618" width="11.59765625" style="5" bestFit="1" customWidth="1"/>
    <col min="4619" max="4619" width="8.8984375" style="5" bestFit="1"/>
    <col min="4620" max="4620" width="8.296875" style="5" customWidth="1"/>
    <col min="4621" max="4621" width="11.09765625" style="5" bestFit="1" customWidth="1"/>
    <col min="4622" max="4864" width="8.8984375" style="5"/>
    <col min="4865" max="4865" width="4.8984375" style="5" customWidth="1"/>
    <col min="4866" max="4866" width="10.69921875" style="5" customWidth="1"/>
    <col min="4867" max="4869" width="5.8984375" style="5" customWidth="1"/>
    <col min="4870" max="4871" width="11.296875" style="5" customWidth="1"/>
    <col min="4872" max="4872" width="12.296875" style="5" customWidth="1"/>
    <col min="4873" max="4873" width="8.19921875" style="5" bestFit="1" customWidth="1"/>
    <col min="4874" max="4874" width="11.59765625" style="5" bestFit="1" customWidth="1"/>
    <col min="4875" max="4875" width="8.8984375" style="5" bestFit="1"/>
    <col min="4876" max="4876" width="8.296875" style="5" customWidth="1"/>
    <col min="4877" max="4877" width="11.09765625" style="5" bestFit="1" customWidth="1"/>
    <col min="4878" max="5120" width="8.8984375" style="5"/>
    <col min="5121" max="5121" width="4.8984375" style="5" customWidth="1"/>
    <col min="5122" max="5122" width="10.69921875" style="5" customWidth="1"/>
    <col min="5123" max="5125" width="5.8984375" style="5" customWidth="1"/>
    <col min="5126" max="5127" width="11.296875" style="5" customWidth="1"/>
    <col min="5128" max="5128" width="12.296875" style="5" customWidth="1"/>
    <col min="5129" max="5129" width="8.19921875" style="5" bestFit="1" customWidth="1"/>
    <col min="5130" max="5130" width="11.59765625" style="5" bestFit="1" customWidth="1"/>
    <col min="5131" max="5131" width="8.8984375" style="5" bestFit="1"/>
    <col min="5132" max="5132" width="8.296875" style="5" customWidth="1"/>
    <col min="5133" max="5133" width="11.09765625" style="5" bestFit="1" customWidth="1"/>
    <col min="5134" max="5376" width="8.8984375" style="5"/>
    <col min="5377" max="5377" width="4.8984375" style="5" customWidth="1"/>
    <col min="5378" max="5378" width="10.69921875" style="5" customWidth="1"/>
    <col min="5379" max="5381" width="5.8984375" style="5" customWidth="1"/>
    <col min="5382" max="5383" width="11.296875" style="5" customWidth="1"/>
    <col min="5384" max="5384" width="12.296875" style="5" customWidth="1"/>
    <col min="5385" max="5385" width="8.19921875" style="5" bestFit="1" customWidth="1"/>
    <col min="5386" max="5386" width="11.59765625" style="5" bestFit="1" customWidth="1"/>
    <col min="5387" max="5387" width="8.8984375" style="5" bestFit="1"/>
    <col min="5388" max="5388" width="8.296875" style="5" customWidth="1"/>
    <col min="5389" max="5389" width="11.09765625" style="5" bestFit="1" customWidth="1"/>
    <col min="5390" max="5632" width="8.8984375" style="5"/>
    <col min="5633" max="5633" width="4.8984375" style="5" customWidth="1"/>
    <col min="5634" max="5634" width="10.69921875" style="5" customWidth="1"/>
    <col min="5635" max="5637" width="5.8984375" style="5" customWidth="1"/>
    <col min="5638" max="5639" width="11.296875" style="5" customWidth="1"/>
    <col min="5640" max="5640" width="12.296875" style="5" customWidth="1"/>
    <col min="5641" max="5641" width="8.19921875" style="5" bestFit="1" customWidth="1"/>
    <col min="5642" max="5642" width="11.59765625" style="5" bestFit="1" customWidth="1"/>
    <col min="5643" max="5643" width="8.8984375" style="5" bestFit="1"/>
    <col min="5644" max="5644" width="8.296875" style="5" customWidth="1"/>
    <col min="5645" max="5645" width="11.09765625" style="5" bestFit="1" customWidth="1"/>
    <col min="5646" max="5888" width="8.8984375" style="5"/>
    <col min="5889" max="5889" width="4.8984375" style="5" customWidth="1"/>
    <col min="5890" max="5890" width="10.69921875" style="5" customWidth="1"/>
    <col min="5891" max="5893" width="5.8984375" style="5" customWidth="1"/>
    <col min="5894" max="5895" width="11.296875" style="5" customWidth="1"/>
    <col min="5896" max="5896" width="12.296875" style="5" customWidth="1"/>
    <col min="5897" max="5897" width="8.19921875" style="5" bestFit="1" customWidth="1"/>
    <col min="5898" max="5898" width="11.59765625" style="5" bestFit="1" customWidth="1"/>
    <col min="5899" max="5899" width="8.8984375" style="5" bestFit="1"/>
    <col min="5900" max="5900" width="8.296875" style="5" customWidth="1"/>
    <col min="5901" max="5901" width="11.09765625" style="5" bestFit="1" customWidth="1"/>
    <col min="5902" max="6144" width="8.8984375" style="5"/>
    <col min="6145" max="6145" width="4.8984375" style="5" customWidth="1"/>
    <col min="6146" max="6146" width="10.69921875" style="5" customWidth="1"/>
    <col min="6147" max="6149" width="5.8984375" style="5" customWidth="1"/>
    <col min="6150" max="6151" width="11.296875" style="5" customWidth="1"/>
    <col min="6152" max="6152" width="12.296875" style="5" customWidth="1"/>
    <col min="6153" max="6153" width="8.19921875" style="5" bestFit="1" customWidth="1"/>
    <col min="6154" max="6154" width="11.59765625" style="5" bestFit="1" customWidth="1"/>
    <col min="6155" max="6155" width="8.8984375" style="5" bestFit="1"/>
    <col min="6156" max="6156" width="8.296875" style="5" customWidth="1"/>
    <col min="6157" max="6157" width="11.09765625" style="5" bestFit="1" customWidth="1"/>
    <col min="6158" max="6400" width="8.8984375" style="5"/>
    <col min="6401" max="6401" width="4.8984375" style="5" customWidth="1"/>
    <col min="6402" max="6402" width="10.69921875" style="5" customWidth="1"/>
    <col min="6403" max="6405" width="5.8984375" style="5" customWidth="1"/>
    <col min="6406" max="6407" width="11.296875" style="5" customWidth="1"/>
    <col min="6408" max="6408" width="12.296875" style="5" customWidth="1"/>
    <col min="6409" max="6409" width="8.19921875" style="5" bestFit="1" customWidth="1"/>
    <col min="6410" max="6410" width="11.59765625" style="5" bestFit="1" customWidth="1"/>
    <col min="6411" max="6411" width="8.8984375" style="5" bestFit="1"/>
    <col min="6412" max="6412" width="8.296875" style="5" customWidth="1"/>
    <col min="6413" max="6413" width="11.09765625" style="5" bestFit="1" customWidth="1"/>
    <col min="6414" max="6656" width="8.8984375" style="5"/>
    <col min="6657" max="6657" width="4.8984375" style="5" customWidth="1"/>
    <col min="6658" max="6658" width="10.69921875" style="5" customWidth="1"/>
    <col min="6659" max="6661" width="5.8984375" style="5" customWidth="1"/>
    <col min="6662" max="6663" width="11.296875" style="5" customWidth="1"/>
    <col min="6664" max="6664" width="12.296875" style="5" customWidth="1"/>
    <col min="6665" max="6665" width="8.19921875" style="5" bestFit="1" customWidth="1"/>
    <col min="6666" max="6666" width="11.59765625" style="5" bestFit="1" customWidth="1"/>
    <col min="6667" max="6667" width="8.8984375" style="5" bestFit="1"/>
    <col min="6668" max="6668" width="8.296875" style="5" customWidth="1"/>
    <col min="6669" max="6669" width="11.09765625" style="5" bestFit="1" customWidth="1"/>
    <col min="6670" max="6912" width="8.8984375" style="5"/>
    <col min="6913" max="6913" width="4.8984375" style="5" customWidth="1"/>
    <col min="6914" max="6914" width="10.69921875" style="5" customWidth="1"/>
    <col min="6915" max="6917" width="5.8984375" style="5" customWidth="1"/>
    <col min="6918" max="6919" width="11.296875" style="5" customWidth="1"/>
    <col min="6920" max="6920" width="12.296875" style="5" customWidth="1"/>
    <col min="6921" max="6921" width="8.19921875" style="5" bestFit="1" customWidth="1"/>
    <col min="6922" max="6922" width="11.59765625" style="5" bestFit="1" customWidth="1"/>
    <col min="6923" max="6923" width="8.8984375" style="5" bestFit="1"/>
    <col min="6924" max="6924" width="8.296875" style="5" customWidth="1"/>
    <col min="6925" max="6925" width="11.09765625" style="5" bestFit="1" customWidth="1"/>
    <col min="6926" max="7168" width="8.8984375" style="5"/>
    <col min="7169" max="7169" width="4.8984375" style="5" customWidth="1"/>
    <col min="7170" max="7170" width="10.69921875" style="5" customWidth="1"/>
    <col min="7171" max="7173" width="5.8984375" style="5" customWidth="1"/>
    <col min="7174" max="7175" width="11.296875" style="5" customWidth="1"/>
    <col min="7176" max="7176" width="12.296875" style="5" customWidth="1"/>
    <col min="7177" max="7177" width="8.19921875" style="5" bestFit="1" customWidth="1"/>
    <col min="7178" max="7178" width="11.59765625" style="5" bestFit="1" customWidth="1"/>
    <col min="7179" max="7179" width="8.8984375" style="5" bestFit="1"/>
    <col min="7180" max="7180" width="8.296875" style="5" customWidth="1"/>
    <col min="7181" max="7181" width="11.09765625" style="5" bestFit="1" customWidth="1"/>
    <col min="7182" max="7424" width="8.8984375" style="5"/>
    <col min="7425" max="7425" width="4.8984375" style="5" customWidth="1"/>
    <col min="7426" max="7426" width="10.69921875" style="5" customWidth="1"/>
    <col min="7427" max="7429" width="5.8984375" style="5" customWidth="1"/>
    <col min="7430" max="7431" width="11.296875" style="5" customWidth="1"/>
    <col min="7432" max="7432" width="12.296875" style="5" customWidth="1"/>
    <col min="7433" max="7433" width="8.19921875" style="5" bestFit="1" customWidth="1"/>
    <col min="7434" max="7434" width="11.59765625" style="5" bestFit="1" customWidth="1"/>
    <col min="7435" max="7435" width="8.8984375" style="5" bestFit="1"/>
    <col min="7436" max="7436" width="8.296875" style="5" customWidth="1"/>
    <col min="7437" max="7437" width="11.09765625" style="5" bestFit="1" customWidth="1"/>
    <col min="7438" max="7680" width="8.8984375" style="5"/>
    <col min="7681" max="7681" width="4.8984375" style="5" customWidth="1"/>
    <col min="7682" max="7682" width="10.69921875" style="5" customWidth="1"/>
    <col min="7683" max="7685" width="5.8984375" style="5" customWidth="1"/>
    <col min="7686" max="7687" width="11.296875" style="5" customWidth="1"/>
    <col min="7688" max="7688" width="12.296875" style="5" customWidth="1"/>
    <col min="7689" max="7689" width="8.19921875" style="5" bestFit="1" customWidth="1"/>
    <col min="7690" max="7690" width="11.59765625" style="5" bestFit="1" customWidth="1"/>
    <col min="7691" max="7691" width="8.8984375" style="5" bestFit="1"/>
    <col min="7692" max="7692" width="8.296875" style="5" customWidth="1"/>
    <col min="7693" max="7693" width="11.09765625" style="5" bestFit="1" customWidth="1"/>
    <col min="7694" max="7936" width="8.8984375" style="5"/>
    <col min="7937" max="7937" width="4.8984375" style="5" customWidth="1"/>
    <col min="7938" max="7938" width="10.69921875" style="5" customWidth="1"/>
    <col min="7939" max="7941" width="5.8984375" style="5" customWidth="1"/>
    <col min="7942" max="7943" width="11.296875" style="5" customWidth="1"/>
    <col min="7944" max="7944" width="12.296875" style="5" customWidth="1"/>
    <col min="7945" max="7945" width="8.19921875" style="5" bestFit="1" customWidth="1"/>
    <col min="7946" max="7946" width="11.59765625" style="5" bestFit="1" customWidth="1"/>
    <col min="7947" max="7947" width="8.8984375" style="5" bestFit="1"/>
    <col min="7948" max="7948" width="8.296875" style="5" customWidth="1"/>
    <col min="7949" max="7949" width="11.09765625" style="5" bestFit="1" customWidth="1"/>
    <col min="7950" max="8192" width="8.8984375" style="5"/>
    <col min="8193" max="8193" width="4.8984375" style="5" customWidth="1"/>
    <col min="8194" max="8194" width="10.69921875" style="5" customWidth="1"/>
    <col min="8195" max="8197" width="5.8984375" style="5" customWidth="1"/>
    <col min="8198" max="8199" width="11.296875" style="5" customWidth="1"/>
    <col min="8200" max="8200" width="12.296875" style="5" customWidth="1"/>
    <col min="8201" max="8201" width="8.19921875" style="5" bestFit="1" customWidth="1"/>
    <col min="8202" max="8202" width="11.59765625" style="5" bestFit="1" customWidth="1"/>
    <col min="8203" max="8203" width="8.8984375" style="5" bestFit="1"/>
    <col min="8204" max="8204" width="8.296875" style="5" customWidth="1"/>
    <col min="8205" max="8205" width="11.09765625" style="5" bestFit="1" customWidth="1"/>
    <col min="8206" max="8448" width="8.8984375" style="5"/>
    <col min="8449" max="8449" width="4.8984375" style="5" customWidth="1"/>
    <col min="8450" max="8450" width="10.69921875" style="5" customWidth="1"/>
    <col min="8451" max="8453" width="5.8984375" style="5" customWidth="1"/>
    <col min="8454" max="8455" width="11.296875" style="5" customWidth="1"/>
    <col min="8456" max="8456" width="12.296875" style="5" customWidth="1"/>
    <col min="8457" max="8457" width="8.19921875" style="5" bestFit="1" customWidth="1"/>
    <col min="8458" max="8458" width="11.59765625" style="5" bestFit="1" customWidth="1"/>
    <col min="8459" max="8459" width="8.8984375" style="5" bestFit="1"/>
    <col min="8460" max="8460" width="8.296875" style="5" customWidth="1"/>
    <col min="8461" max="8461" width="11.09765625" style="5" bestFit="1" customWidth="1"/>
    <col min="8462" max="8704" width="8.8984375" style="5"/>
    <col min="8705" max="8705" width="4.8984375" style="5" customWidth="1"/>
    <col min="8706" max="8706" width="10.69921875" style="5" customWidth="1"/>
    <col min="8707" max="8709" width="5.8984375" style="5" customWidth="1"/>
    <col min="8710" max="8711" width="11.296875" style="5" customWidth="1"/>
    <col min="8712" max="8712" width="12.296875" style="5" customWidth="1"/>
    <col min="8713" max="8713" width="8.19921875" style="5" bestFit="1" customWidth="1"/>
    <col min="8714" max="8714" width="11.59765625" style="5" bestFit="1" customWidth="1"/>
    <col min="8715" max="8715" width="8.8984375" style="5" bestFit="1"/>
    <col min="8716" max="8716" width="8.296875" style="5" customWidth="1"/>
    <col min="8717" max="8717" width="11.09765625" style="5" bestFit="1" customWidth="1"/>
    <col min="8718" max="8960" width="8.8984375" style="5"/>
    <col min="8961" max="8961" width="4.8984375" style="5" customWidth="1"/>
    <col min="8962" max="8962" width="10.69921875" style="5" customWidth="1"/>
    <col min="8963" max="8965" width="5.8984375" style="5" customWidth="1"/>
    <col min="8966" max="8967" width="11.296875" style="5" customWidth="1"/>
    <col min="8968" max="8968" width="12.296875" style="5" customWidth="1"/>
    <col min="8969" max="8969" width="8.19921875" style="5" bestFit="1" customWidth="1"/>
    <col min="8970" max="8970" width="11.59765625" style="5" bestFit="1" customWidth="1"/>
    <col min="8971" max="8971" width="8.8984375" style="5" bestFit="1"/>
    <col min="8972" max="8972" width="8.296875" style="5" customWidth="1"/>
    <col min="8973" max="8973" width="11.09765625" style="5" bestFit="1" customWidth="1"/>
    <col min="8974" max="9216" width="8.8984375" style="5"/>
    <col min="9217" max="9217" width="4.8984375" style="5" customWidth="1"/>
    <col min="9218" max="9218" width="10.69921875" style="5" customWidth="1"/>
    <col min="9219" max="9221" width="5.8984375" style="5" customWidth="1"/>
    <col min="9222" max="9223" width="11.296875" style="5" customWidth="1"/>
    <col min="9224" max="9224" width="12.296875" style="5" customWidth="1"/>
    <col min="9225" max="9225" width="8.19921875" style="5" bestFit="1" customWidth="1"/>
    <col min="9226" max="9226" width="11.59765625" style="5" bestFit="1" customWidth="1"/>
    <col min="9227" max="9227" width="8.8984375" style="5" bestFit="1"/>
    <col min="9228" max="9228" width="8.296875" style="5" customWidth="1"/>
    <col min="9229" max="9229" width="11.09765625" style="5" bestFit="1" customWidth="1"/>
    <col min="9230" max="9472" width="8.8984375" style="5"/>
    <col min="9473" max="9473" width="4.8984375" style="5" customWidth="1"/>
    <col min="9474" max="9474" width="10.69921875" style="5" customWidth="1"/>
    <col min="9475" max="9477" width="5.8984375" style="5" customWidth="1"/>
    <col min="9478" max="9479" width="11.296875" style="5" customWidth="1"/>
    <col min="9480" max="9480" width="12.296875" style="5" customWidth="1"/>
    <col min="9481" max="9481" width="8.19921875" style="5" bestFit="1" customWidth="1"/>
    <col min="9482" max="9482" width="11.59765625" style="5" bestFit="1" customWidth="1"/>
    <col min="9483" max="9483" width="8.8984375" style="5" bestFit="1"/>
    <col min="9484" max="9484" width="8.296875" style="5" customWidth="1"/>
    <col min="9485" max="9485" width="11.09765625" style="5" bestFit="1" customWidth="1"/>
    <col min="9486" max="9728" width="8.8984375" style="5"/>
    <col min="9729" max="9729" width="4.8984375" style="5" customWidth="1"/>
    <col min="9730" max="9730" width="10.69921875" style="5" customWidth="1"/>
    <col min="9731" max="9733" width="5.8984375" style="5" customWidth="1"/>
    <col min="9734" max="9735" width="11.296875" style="5" customWidth="1"/>
    <col min="9736" max="9736" width="12.296875" style="5" customWidth="1"/>
    <col min="9737" max="9737" width="8.19921875" style="5" bestFit="1" customWidth="1"/>
    <col min="9738" max="9738" width="11.59765625" style="5" bestFit="1" customWidth="1"/>
    <col min="9739" max="9739" width="8.8984375" style="5" bestFit="1"/>
    <col min="9740" max="9740" width="8.296875" style="5" customWidth="1"/>
    <col min="9741" max="9741" width="11.09765625" style="5" bestFit="1" customWidth="1"/>
    <col min="9742" max="9984" width="8.8984375" style="5"/>
    <col min="9985" max="9985" width="4.8984375" style="5" customWidth="1"/>
    <col min="9986" max="9986" width="10.69921875" style="5" customWidth="1"/>
    <col min="9987" max="9989" width="5.8984375" style="5" customWidth="1"/>
    <col min="9990" max="9991" width="11.296875" style="5" customWidth="1"/>
    <col min="9992" max="9992" width="12.296875" style="5" customWidth="1"/>
    <col min="9993" max="9993" width="8.19921875" style="5" bestFit="1" customWidth="1"/>
    <col min="9994" max="9994" width="11.59765625" style="5" bestFit="1" customWidth="1"/>
    <col min="9995" max="9995" width="8.8984375" style="5" bestFit="1"/>
    <col min="9996" max="9996" width="8.296875" style="5" customWidth="1"/>
    <col min="9997" max="9997" width="11.09765625" style="5" bestFit="1" customWidth="1"/>
    <col min="9998" max="10240" width="8.8984375" style="5"/>
    <col min="10241" max="10241" width="4.8984375" style="5" customWidth="1"/>
    <col min="10242" max="10242" width="10.69921875" style="5" customWidth="1"/>
    <col min="10243" max="10245" width="5.8984375" style="5" customWidth="1"/>
    <col min="10246" max="10247" width="11.296875" style="5" customWidth="1"/>
    <col min="10248" max="10248" width="12.296875" style="5" customWidth="1"/>
    <col min="10249" max="10249" width="8.19921875" style="5" bestFit="1" customWidth="1"/>
    <col min="10250" max="10250" width="11.59765625" style="5" bestFit="1" customWidth="1"/>
    <col min="10251" max="10251" width="8.8984375" style="5" bestFit="1"/>
    <col min="10252" max="10252" width="8.296875" style="5" customWidth="1"/>
    <col min="10253" max="10253" width="11.09765625" style="5" bestFit="1" customWidth="1"/>
    <col min="10254" max="10496" width="8.8984375" style="5"/>
    <col min="10497" max="10497" width="4.8984375" style="5" customWidth="1"/>
    <col min="10498" max="10498" width="10.69921875" style="5" customWidth="1"/>
    <col min="10499" max="10501" width="5.8984375" style="5" customWidth="1"/>
    <col min="10502" max="10503" width="11.296875" style="5" customWidth="1"/>
    <col min="10504" max="10504" width="12.296875" style="5" customWidth="1"/>
    <col min="10505" max="10505" width="8.19921875" style="5" bestFit="1" customWidth="1"/>
    <col min="10506" max="10506" width="11.59765625" style="5" bestFit="1" customWidth="1"/>
    <col min="10507" max="10507" width="8.8984375" style="5" bestFit="1"/>
    <col min="10508" max="10508" width="8.296875" style="5" customWidth="1"/>
    <col min="10509" max="10509" width="11.09765625" style="5" bestFit="1" customWidth="1"/>
    <col min="10510" max="10752" width="8.8984375" style="5"/>
    <col min="10753" max="10753" width="4.8984375" style="5" customWidth="1"/>
    <col min="10754" max="10754" width="10.69921875" style="5" customWidth="1"/>
    <col min="10755" max="10757" width="5.8984375" style="5" customWidth="1"/>
    <col min="10758" max="10759" width="11.296875" style="5" customWidth="1"/>
    <col min="10760" max="10760" width="12.296875" style="5" customWidth="1"/>
    <col min="10761" max="10761" width="8.19921875" style="5" bestFit="1" customWidth="1"/>
    <col min="10762" max="10762" width="11.59765625" style="5" bestFit="1" customWidth="1"/>
    <col min="10763" max="10763" width="8.8984375" style="5" bestFit="1"/>
    <col min="10764" max="10764" width="8.296875" style="5" customWidth="1"/>
    <col min="10765" max="10765" width="11.09765625" style="5" bestFit="1" customWidth="1"/>
    <col min="10766" max="11008" width="8.8984375" style="5"/>
    <col min="11009" max="11009" width="4.8984375" style="5" customWidth="1"/>
    <col min="11010" max="11010" width="10.69921875" style="5" customWidth="1"/>
    <col min="11011" max="11013" width="5.8984375" style="5" customWidth="1"/>
    <col min="11014" max="11015" width="11.296875" style="5" customWidth="1"/>
    <col min="11016" max="11016" width="12.296875" style="5" customWidth="1"/>
    <col min="11017" max="11017" width="8.19921875" style="5" bestFit="1" customWidth="1"/>
    <col min="11018" max="11018" width="11.59765625" style="5" bestFit="1" customWidth="1"/>
    <col min="11019" max="11019" width="8.8984375" style="5" bestFit="1"/>
    <col min="11020" max="11020" width="8.296875" style="5" customWidth="1"/>
    <col min="11021" max="11021" width="11.09765625" style="5" bestFit="1" customWidth="1"/>
    <col min="11022" max="11264" width="8.8984375" style="5"/>
    <col min="11265" max="11265" width="4.8984375" style="5" customWidth="1"/>
    <col min="11266" max="11266" width="10.69921875" style="5" customWidth="1"/>
    <col min="11267" max="11269" width="5.8984375" style="5" customWidth="1"/>
    <col min="11270" max="11271" width="11.296875" style="5" customWidth="1"/>
    <col min="11272" max="11272" width="12.296875" style="5" customWidth="1"/>
    <col min="11273" max="11273" width="8.19921875" style="5" bestFit="1" customWidth="1"/>
    <col min="11274" max="11274" width="11.59765625" style="5" bestFit="1" customWidth="1"/>
    <col min="11275" max="11275" width="8.8984375" style="5" bestFit="1"/>
    <col min="11276" max="11276" width="8.296875" style="5" customWidth="1"/>
    <col min="11277" max="11277" width="11.09765625" style="5" bestFit="1" customWidth="1"/>
    <col min="11278" max="11520" width="8.8984375" style="5"/>
    <col min="11521" max="11521" width="4.8984375" style="5" customWidth="1"/>
    <col min="11522" max="11522" width="10.69921875" style="5" customWidth="1"/>
    <col min="11523" max="11525" width="5.8984375" style="5" customWidth="1"/>
    <col min="11526" max="11527" width="11.296875" style="5" customWidth="1"/>
    <col min="11528" max="11528" width="12.296875" style="5" customWidth="1"/>
    <col min="11529" max="11529" width="8.19921875" style="5" bestFit="1" customWidth="1"/>
    <col min="11530" max="11530" width="11.59765625" style="5" bestFit="1" customWidth="1"/>
    <col min="11531" max="11531" width="8.8984375" style="5" bestFit="1"/>
    <col min="11532" max="11532" width="8.296875" style="5" customWidth="1"/>
    <col min="11533" max="11533" width="11.09765625" style="5" bestFit="1" customWidth="1"/>
    <col min="11534" max="11776" width="8.8984375" style="5"/>
    <col min="11777" max="11777" width="4.8984375" style="5" customWidth="1"/>
    <col min="11778" max="11778" width="10.69921875" style="5" customWidth="1"/>
    <col min="11779" max="11781" width="5.8984375" style="5" customWidth="1"/>
    <col min="11782" max="11783" width="11.296875" style="5" customWidth="1"/>
    <col min="11784" max="11784" width="12.296875" style="5" customWidth="1"/>
    <col min="11785" max="11785" width="8.19921875" style="5" bestFit="1" customWidth="1"/>
    <col min="11786" max="11786" width="11.59765625" style="5" bestFit="1" customWidth="1"/>
    <col min="11787" max="11787" width="8.8984375" style="5" bestFit="1"/>
    <col min="11788" max="11788" width="8.296875" style="5" customWidth="1"/>
    <col min="11789" max="11789" width="11.09765625" style="5" bestFit="1" customWidth="1"/>
    <col min="11790" max="12032" width="8.8984375" style="5"/>
    <col min="12033" max="12033" width="4.8984375" style="5" customWidth="1"/>
    <col min="12034" max="12034" width="10.69921875" style="5" customWidth="1"/>
    <col min="12035" max="12037" width="5.8984375" style="5" customWidth="1"/>
    <col min="12038" max="12039" width="11.296875" style="5" customWidth="1"/>
    <col min="12040" max="12040" width="12.296875" style="5" customWidth="1"/>
    <col min="12041" max="12041" width="8.19921875" style="5" bestFit="1" customWidth="1"/>
    <col min="12042" max="12042" width="11.59765625" style="5" bestFit="1" customWidth="1"/>
    <col min="12043" max="12043" width="8.8984375" style="5" bestFit="1"/>
    <col min="12044" max="12044" width="8.296875" style="5" customWidth="1"/>
    <col min="12045" max="12045" width="11.09765625" style="5" bestFit="1" customWidth="1"/>
    <col min="12046" max="12288" width="8.8984375" style="5"/>
    <col min="12289" max="12289" width="4.8984375" style="5" customWidth="1"/>
    <col min="12290" max="12290" width="10.69921875" style="5" customWidth="1"/>
    <col min="12291" max="12293" width="5.8984375" style="5" customWidth="1"/>
    <col min="12294" max="12295" width="11.296875" style="5" customWidth="1"/>
    <col min="12296" max="12296" width="12.296875" style="5" customWidth="1"/>
    <col min="12297" max="12297" width="8.19921875" style="5" bestFit="1" customWidth="1"/>
    <col min="12298" max="12298" width="11.59765625" style="5" bestFit="1" customWidth="1"/>
    <col min="12299" max="12299" width="8.8984375" style="5" bestFit="1"/>
    <col min="12300" max="12300" width="8.296875" style="5" customWidth="1"/>
    <col min="12301" max="12301" width="11.09765625" style="5" bestFit="1" customWidth="1"/>
    <col min="12302" max="12544" width="8.8984375" style="5"/>
    <col min="12545" max="12545" width="4.8984375" style="5" customWidth="1"/>
    <col min="12546" max="12546" width="10.69921875" style="5" customWidth="1"/>
    <col min="12547" max="12549" width="5.8984375" style="5" customWidth="1"/>
    <col min="12550" max="12551" width="11.296875" style="5" customWidth="1"/>
    <col min="12552" max="12552" width="12.296875" style="5" customWidth="1"/>
    <col min="12553" max="12553" width="8.19921875" style="5" bestFit="1" customWidth="1"/>
    <col min="12554" max="12554" width="11.59765625" style="5" bestFit="1" customWidth="1"/>
    <col min="12555" max="12555" width="8.8984375" style="5" bestFit="1"/>
    <col min="12556" max="12556" width="8.296875" style="5" customWidth="1"/>
    <col min="12557" max="12557" width="11.09765625" style="5" bestFit="1" customWidth="1"/>
    <col min="12558" max="12800" width="8.8984375" style="5"/>
    <col min="12801" max="12801" width="4.8984375" style="5" customWidth="1"/>
    <col min="12802" max="12802" width="10.69921875" style="5" customWidth="1"/>
    <col min="12803" max="12805" width="5.8984375" style="5" customWidth="1"/>
    <col min="12806" max="12807" width="11.296875" style="5" customWidth="1"/>
    <col min="12808" max="12808" width="12.296875" style="5" customWidth="1"/>
    <col min="12809" max="12809" width="8.19921875" style="5" bestFit="1" customWidth="1"/>
    <col min="12810" max="12810" width="11.59765625" style="5" bestFit="1" customWidth="1"/>
    <col min="12811" max="12811" width="8.8984375" style="5" bestFit="1"/>
    <col min="12812" max="12812" width="8.296875" style="5" customWidth="1"/>
    <col min="12813" max="12813" width="11.09765625" style="5" bestFit="1" customWidth="1"/>
    <col min="12814" max="13056" width="8.8984375" style="5"/>
    <col min="13057" max="13057" width="4.8984375" style="5" customWidth="1"/>
    <col min="13058" max="13058" width="10.69921875" style="5" customWidth="1"/>
    <col min="13059" max="13061" width="5.8984375" style="5" customWidth="1"/>
    <col min="13062" max="13063" width="11.296875" style="5" customWidth="1"/>
    <col min="13064" max="13064" width="12.296875" style="5" customWidth="1"/>
    <col min="13065" max="13065" width="8.19921875" style="5" bestFit="1" customWidth="1"/>
    <col min="13066" max="13066" width="11.59765625" style="5" bestFit="1" customWidth="1"/>
    <col min="13067" max="13067" width="8.8984375" style="5" bestFit="1"/>
    <col min="13068" max="13068" width="8.296875" style="5" customWidth="1"/>
    <col min="13069" max="13069" width="11.09765625" style="5" bestFit="1" customWidth="1"/>
    <col min="13070" max="13312" width="8.8984375" style="5"/>
    <col min="13313" max="13313" width="4.8984375" style="5" customWidth="1"/>
    <col min="13314" max="13314" width="10.69921875" style="5" customWidth="1"/>
    <col min="13315" max="13317" width="5.8984375" style="5" customWidth="1"/>
    <col min="13318" max="13319" width="11.296875" style="5" customWidth="1"/>
    <col min="13320" max="13320" width="12.296875" style="5" customWidth="1"/>
    <col min="13321" max="13321" width="8.19921875" style="5" bestFit="1" customWidth="1"/>
    <col min="13322" max="13322" width="11.59765625" style="5" bestFit="1" customWidth="1"/>
    <col min="13323" max="13323" width="8.8984375" style="5" bestFit="1"/>
    <col min="13324" max="13324" width="8.296875" style="5" customWidth="1"/>
    <col min="13325" max="13325" width="11.09765625" style="5" bestFit="1" customWidth="1"/>
    <col min="13326" max="13568" width="8.8984375" style="5"/>
    <col min="13569" max="13569" width="4.8984375" style="5" customWidth="1"/>
    <col min="13570" max="13570" width="10.69921875" style="5" customWidth="1"/>
    <col min="13571" max="13573" width="5.8984375" style="5" customWidth="1"/>
    <col min="13574" max="13575" width="11.296875" style="5" customWidth="1"/>
    <col min="13576" max="13576" width="12.296875" style="5" customWidth="1"/>
    <col min="13577" max="13577" width="8.19921875" style="5" bestFit="1" customWidth="1"/>
    <col min="13578" max="13578" width="11.59765625" style="5" bestFit="1" customWidth="1"/>
    <col min="13579" max="13579" width="8.8984375" style="5" bestFit="1"/>
    <col min="13580" max="13580" width="8.296875" style="5" customWidth="1"/>
    <col min="13581" max="13581" width="11.09765625" style="5" bestFit="1" customWidth="1"/>
    <col min="13582" max="13824" width="8.8984375" style="5"/>
    <col min="13825" max="13825" width="4.8984375" style="5" customWidth="1"/>
    <col min="13826" max="13826" width="10.69921875" style="5" customWidth="1"/>
    <col min="13827" max="13829" width="5.8984375" style="5" customWidth="1"/>
    <col min="13830" max="13831" width="11.296875" style="5" customWidth="1"/>
    <col min="13832" max="13832" width="12.296875" style="5" customWidth="1"/>
    <col min="13833" max="13833" width="8.19921875" style="5" bestFit="1" customWidth="1"/>
    <col min="13834" max="13834" width="11.59765625" style="5" bestFit="1" customWidth="1"/>
    <col min="13835" max="13835" width="8.8984375" style="5" bestFit="1"/>
    <col min="13836" max="13836" width="8.296875" style="5" customWidth="1"/>
    <col min="13837" max="13837" width="11.09765625" style="5" bestFit="1" customWidth="1"/>
    <col min="13838" max="14080" width="8.8984375" style="5"/>
    <col min="14081" max="14081" width="4.8984375" style="5" customWidth="1"/>
    <col min="14082" max="14082" width="10.69921875" style="5" customWidth="1"/>
    <col min="14083" max="14085" width="5.8984375" style="5" customWidth="1"/>
    <col min="14086" max="14087" width="11.296875" style="5" customWidth="1"/>
    <col min="14088" max="14088" width="12.296875" style="5" customWidth="1"/>
    <col min="14089" max="14089" width="8.19921875" style="5" bestFit="1" customWidth="1"/>
    <col min="14090" max="14090" width="11.59765625" style="5" bestFit="1" customWidth="1"/>
    <col min="14091" max="14091" width="8.8984375" style="5" bestFit="1"/>
    <col min="14092" max="14092" width="8.296875" style="5" customWidth="1"/>
    <col min="14093" max="14093" width="11.09765625" style="5" bestFit="1" customWidth="1"/>
    <col min="14094" max="14336" width="8.8984375" style="5"/>
    <col min="14337" max="14337" width="4.8984375" style="5" customWidth="1"/>
    <col min="14338" max="14338" width="10.69921875" style="5" customWidth="1"/>
    <col min="14339" max="14341" width="5.8984375" style="5" customWidth="1"/>
    <col min="14342" max="14343" width="11.296875" style="5" customWidth="1"/>
    <col min="14344" max="14344" width="12.296875" style="5" customWidth="1"/>
    <col min="14345" max="14345" width="8.19921875" style="5" bestFit="1" customWidth="1"/>
    <col min="14346" max="14346" width="11.59765625" style="5" bestFit="1" customWidth="1"/>
    <col min="14347" max="14347" width="8.8984375" style="5" bestFit="1"/>
    <col min="14348" max="14348" width="8.296875" style="5" customWidth="1"/>
    <col min="14349" max="14349" width="11.09765625" style="5" bestFit="1" customWidth="1"/>
    <col min="14350" max="14592" width="8.8984375" style="5"/>
    <col min="14593" max="14593" width="4.8984375" style="5" customWidth="1"/>
    <col min="14594" max="14594" width="10.69921875" style="5" customWidth="1"/>
    <col min="14595" max="14597" width="5.8984375" style="5" customWidth="1"/>
    <col min="14598" max="14599" width="11.296875" style="5" customWidth="1"/>
    <col min="14600" max="14600" width="12.296875" style="5" customWidth="1"/>
    <col min="14601" max="14601" width="8.19921875" style="5" bestFit="1" customWidth="1"/>
    <col min="14602" max="14602" width="11.59765625" style="5" bestFit="1" customWidth="1"/>
    <col min="14603" max="14603" width="8.8984375" style="5" bestFit="1"/>
    <col min="14604" max="14604" width="8.296875" style="5" customWidth="1"/>
    <col min="14605" max="14605" width="11.09765625" style="5" bestFit="1" customWidth="1"/>
    <col min="14606" max="14848" width="8.8984375" style="5"/>
    <col min="14849" max="14849" width="4.8984375" style="5" customWidth="1"/>
    <col min="14850" max="14850" width="10.69921875" style="5" customWidth="1"/>
    <col min="14851" max="14853" width="5.8984375" style="5" customWidth="1"/>
    <col min="14854" max="14855" width="11.296875" style="5" customWidth="1"/>
    <col min="14856" max="14856" width="12.296875" style="5" customWidth="1"/>
    <col min="14857" max="14857" width="8.19921875" style="5" bestFit="1" customWidth="1"/>
    <col min="14858" max="14858" width="11.59765625" style="5" bestFit="1" customWidth="1"/>
    <col min="14859" max="14859" width="8.8984375" style="5" bestFit="1"/>
    <col min="14860" max="14860" width="8.296875" style="5" customWidth="1"/>
    <col min="14861" max="14861" width="11.09765625" style="5" bestFit="1" customWidth="1"/>
    <col min="14862" max="15104" width="8.8984375" style="5"/>
    <col min="15105" max="15105" width="4.8984375" style="5" customWidth="1"/>
    <col min="15106" max="15106" width="10.69921875" style="5" customWidth="1"/>
    <col min="15107" max="15109" width="5.8984375" style="5" customWidth="1"/>
    <col min="15110" max="15111" width="11.296875" style="5" customWidth="1"/>
    <col min="15112" max="15112" width="12.296875" style="5" customWidth="1"/>
    <col min="15113" max="15113" width="8.19921875" style="5" bestFit="1" customWidth="1"/>
    <col min="15114" max="15114" width="11.59765625" style="5" bestFit="1" customWidth="1"/>
    <col min="15115" max="15115" width="8.8984375" style="5" bestFit="1"/>
    <col min="15116" max="15116" width="8.296875" style="5" customWidth="1"/>
    <col min="15117" max="15117" width="11.09765625" style="5" bestFit="1" customWidth="1"/>
    <col min="15118" max="15360" width="8.8984375" style="5"/>
    <col min="15361" max="15361" width="4.8984375" style="5" customWidth="1"/>
    <col min="15362" max="15362" width="10.69921875" style="5" customWidth="1"/>
    <col min="15363" max="15365" width="5.8984375" style="5" customWidth="1"/>
    <col min="15366" max="15367" width="11.296875" style="5" customWidth="1"/>
    <col min="15368" max="15368" width="12.296875" style="5" customWidth="1"/>
    <col min="15369" max="15369" width="8.19921875" style="5" bestFit="1" customWidth="1"/>
    <col min="15370" max="15370" width="11.59765625" style="5" bestFit="1" customWidth="1"/>
    <col min="15371" max="15371" width="8.8984375" style="5" bestFit="1"/>
    <col min="15372" max="15372" width="8.296875" style="5" customWidth="1"/>
    <col min="15373" max="15373" width="11.09765625" style="5" bestFit="1" customWidth="1"/>
    <col min="15374" max="15616" width="8.8984375" style="5"/>
    <col min="15617" max="15617" width="4.8984375" style="5" customWidth="1"/>
    <col min="15618" max="15618" width="10.69921875" style="5" customWidth="1"/>
    <col min="15619" max="15621" width="5.8984375" style="5" customWidth="1"/>
    <col min="15622" max="15623" width="11.296875" style="5" customWidth="1"/>
    <col min="15624" max="15624" width="12.296875" style="5" customWidth="1"/>
    <col min="15625" max="15625" width="8.19921875" style="5" bestFit="1" customWidth="1"/>
    <col min="15626" max="15626" width="11.59765625" style="5" bestFit="1" customWidth="1"/>
    <col min="15627" max="15627" width="8.8984375" style="5" bestFit="1"/>
    <col min="15628" max="15628" width="8.296875" style="5" customWidth="1"/>
    <col min="15629" max="15629" width="11.09765625" style="5" bestFit="1" customWidth="1"/>
    <col min="15630" max="15872" width="8.8984375" style="5"/>
    <col min="15873" max="15873" width="4.8984375" style="5" customWidth="1"/>
    <col min="15874" max="15874" width="10.69921875" style="5" customWidth="1"/>
    <col min="15875" max="15877" width="5.8984375" style="5" customWidth="1"/>
    <col min="15878" max="15879" width="11.296875" style="5" customWidth="1"/>
    <col min="15880" max="15880" width="12.296875" style="5" customWidth="1"/>
    <col min="15881" max="15881" width="8.19921875" style="5" bestFit="1" customWidth="1"/>
    <col min="15882" max="15882" width="11.59765625" style="5" bestFit="1" customWidth="1"/>
    <col min="15883" max="15883" width="8.8984375" style="5" bestFit="1"/>
    <col min="15884" max="15884" width="8.296875" style="5" customWidth="1"/>
    <col min="15885" max="15885" width="11.09765625" style="5" bestFit="1" customWidth="1"/>
    <col min="15886" max="16128" width="8.8984375" style="5"/>
    <col min="16129" max="16129" width="4.8984375" style="5" customWidth="1"/>
    <col min="16130" max="16130" width="10.69921875" style="5" customWidth="1"/>
    <col min="16131" max="16133" width="5.8984375" style="5" customWidth="1"/>
    <col min="16134" max="16135" width="11.296875" style="5" customWidth="1"/>
    <col min="16136" max="16136" width="12.296875" style="5" customWidth="1"/>
    <col min="16137" max="16137" width="8.19921875" style="5" bestFit="1" customWidth="1"/>
    <col min="16138" max="16138" width="11.59765625" style="5" bestFit="1" customWidth="1"/>
    <col min="16139" max="16139" width="8.8984375" style="5" bestFit="1"/>
    <col min="16140" max="16140" width="8.296875" style="5" customWidth="1"/>
    <col min="16141" max="16141" width="11.09765625" style="5" bestFit="1" customWidth="1"/>
    <col min="16142" max="16384" width="8.8984375" style="5"/>
  </cols>
  <sheetData>
    <row r="1" spans="1:14" ht="37.5" customHeight="1">
      <c r="A1" s="218" t="s">
        <v>99</v>
      </c>
      <c r="B1" s="218"/>
      <c r="C1" s="218"/>
      <c r="D1" s="218"/>
      <c r="E1" s="218"/>
      <c r="F1" s="218"/>
      <c r="G1" s="218"/>
      <c r="H1" s="218"/>
      <c r="I1" s="218"/>
      <c r="J1" s="5" t="s">
        <v>100</v>
      </c>
      <c r="K1" s="43"/>
      <c r="L1" s="43"/>
    </row>
    <row r="2" spans="1:14" ht="13.5" customHeight="1">
      <c r="A2" s="129"/>
      <c r="B2" s="129"/>
      <c r="C2" s="129"/>
      <c r="D2" s="129"/>
      <c r="E2" s="129"/>
      <c r="F2" s="129"/>
      <c r="G2" s="129"/>
      <c r="H2" s="219"/>
      <c r="I2" s="219"/>
    </row>
    <row r="3" spans="1:14" ht="30.75" customHeight="1">
      <c r="A3" s="130" t="s">
        <v>101</v>
      </c>
      <c r="B3" s="130" t="s">
        <v>102</v>
      </c>
      <c r="C3" s="130" t="s">
        <v>7</v>
      </c>
      <c r="D3" s="130" t="s">
        <v>103</v>
      </c>
      <c r="E3" s="130" t="s">
        <v>104</v>
      </c>
      <c r="F3" s="130" t="s">
        <v>105</v>
      </c>
      <c r="G3" s="130" t="s">
        <v>106</v>
      </c>
      <c r="H3" s="130" t="s">
        <v>107</v>
      </c>
      <c r="I3" s="130" t="s">
        <v>108</v>
      </c>
      <c r="J3" s="131" t="s">
        <v>109</v>
      </c>
      <c r="K3" s="132">
        <v>5500</v>
      </c>
      <c r="L3" s="133" t="s">
        <v>110</v>
      </c>
    </row>
    <row r="4" spans="1:14" ht="21" customHeight="1">
      <c r="A4" s="134">
        <f t="shared" ref="A4:A30" si="0">ROW()-3</f>
        <v>1</v>
      </c>
      <c r="B4" s="135" t="s">
        <v>45</v>
      </c>
      <c r="C4" s="135">
        <v>30</v>
      </c>
      <c r="D4" s="136">
        <v>30</v>
      </c>
      <c r="E4" s="137">
        <v>0</v>
      </c>
      <c r="F4" s="132">
        <v>100000</v>
      </c>
      <c r="G4" s="132">
        <f t="shared" ref="G4:G30" si="1">$K$3*E4</f>
        <v>0</v>
      </c>
      <c r="H4" s="132">
        <f t="shared" ref="H4:H30" si="2">SUM(F4:G4)</f>
        <v>100000</v>
      </c>
      <c r="I4" s="134"/>
      <c r="J4" s="57"/>
      <c r="K4" s="57"/>
      <c r="L4" s="126" t="s">
        <v>111</v>
      </c>
    </row>
    <row r="5" spans="1:14" ht="21" customHeight="1">
      <c r="A5" s="134">
        <f t="shared" si="0"/>
        <v>2</v>
      </c>
      <c r="B5" s="135" t="s">
        <v>49</v>
      </c>
      <c r="C5" s="135">
        <v>30</v>
      </c>
      <c r="D5" s="136">
        <v>30</v>
      </c>
      <c r="E5" s="137">
        <v>0</v>
      </c>
      <c r="F5" s="132">
        <f>ROUND(100000,-1)</f>
        <v>100000</v>
      </c>
      <c r="G5" s="138">
        <f t="shared" si="1"/>
        <v>0</v>
      </c>
      <c r="H5" s="132">
        <f t="shared" si="2"/>
        <v>100000</v>
      </c>
      <c r="I5" s="134"/>
      <c r="J5" s="57" t="s">
        <v>112</v>
      </c>
      <c r="K5" s="57"/>
      <c r="L5" s="126"/>
    </row>
    <row r="6" spans="1:14" ht="21" customHeight="1">
      <c r="A6" s="134">
        <f t="shared" si="0"/>
        <v>3</v>
      </c>
      <c r="B6" s="135" t="s">
        <v>51</v>
      </c>
      <c r="C6" s="135">
        <v>30</v>
      </c>
      <c r="D6" s="136">
        <v>30</v>
      </c>
      <c r="E6" s="139">
        <v>4</v>
      </c>
      <c r="F6" s="138">
        <v>100000</v>
      </c>
      <c r="G6" s="138">
        <f t="shared" si="1"/>
        <v>22000</v>
      </c>
      <c r="H6" s="132">
        <f t="shared" si="2"/>
        <v>122000</v>
      </c>
      <c r="I6" s="134"/>
      <c r="J6" s="57"/>
      <c r="K6" s="57" t="s">
        <v>113</v>
      </c>
    </row>
    <row r="7" spans="1:14" ht="21" customHeight="1">
      <c r="A7" s="134">
        <f t="shared" si="0"/>
        <v>4</v>
      </c>
      <c r="B7" s="135" t="s">
        <v>52</v>
      </c>
      <c r="C7" s="135">
        <v>30</v>
      </c>
      <c r="D7" s="135">
        <v>30</v>
      </c>
      <c r="E7" s="139">
        <v>4</v>
      </c>
      <c r="F7" s="138">
        <f>100000</f>
        <v>100000</v>
      </c>
      <c r="G7" s="138">
        <f t="shared" si="1"/>
        <v>22000</v>
      </c>
      <c r="H7" s="132">
        <f t="shared" si="2"/>
        <v>122000</v>
      </c>
      <c r="I7" s="134"/>
      <c r="J7" s="57"/>
      <c r="K7" s="140" t="s">
        <v>114</v>
      </c>
      <c r="L7" s="5" t="s">
        <v>115</v>
      </c>
      <c r="N7" s="5" t="s">
        <v>116</v>
      </c>
    </row>
    <row r="8" spans="1:14" ht="21" customHeight="1">
      <c r="A8" s="134">
        <f t="shared" si="0"/>
        <v>5</v>
      </c>
      <c r="B8" s="135" t="s">
        <v>54</v>
      </c>
      <c r="C8" s="135">
        <v>30</v>
      </c>
      <c r="D8" s="135">
        <v>30</v>
      </c>
      <c r="E8" s="139">
        <v>4</v>
      </c>
      <c r="F8" s="138">
        <f>100000</f>
        <v>100000</v>
      </c>
      <c r="G8" s="138">
        <f t="shared" si="1"/>
        <v>22000</v>
      </c>
      <c r="H8" s="132">
        <f t="shared" si="2"/>
        <v>122000</v>
      </c>
      <c r="I8" s="134"/>
      <c r="J8" s="57"/>
      <c r="K8" s="57"/>
    </row>
    <row r="9" spans="1:14" ht="21" customHeight="1">
      <c r="A9" s="134">
        <f t="shared" si="0"/>
        <v>6</v>
      </c>
      <c r="B9" s="135" t="s">
        <v>55</v>
      </c>
      <c r="C9" s="135">
        <v>30</v>
      </c>
      <c r="D9" s="135">
        <v>30</v>
      </c>
      <c r="E9" s="139">
        <v>4</v>
      </c>
      <c r="F9" s="138">
        <f>ROUND(100000,-1)</f>
        <v>100000</v>
      </c>
      <c r="G9" s="138">
        <f t="shared" si="1"/>
        <v>22000</v>
      </c>
      <c r="H9" s="132">
        <f t="shared" si="2"/>
        <v>122000</v>
      </c>
      <c r="I9" s="134"/>
      <c r="J9" s="57"/>
      <c r="K9" s="57"/>
    </row>
    <row r="10" spans="1:14" ht="21" customHeight="1">
      <c r="A10" s="134">
        <f t="shared" si="0"/>
        <v>7</v>
      </c>
      <c r="B10" s="135" t="s">
        <v>58</v>
      </c>
      <c r="C10" s="135">
        <v>30</v>
      </c>
      <c r="D10" s="135">
        <v>30</v>
      </c>
      <c r="E10" s="139">
        <v>5</v>
      </c>
      <c r="F10" s="138">
        <v>100000</v>
      </c>
      <c r="G10" s="138">
        <f t="shared" si="1"/>
        <v>27500</v>
      </c>
      <c r="H10" s="132">
        <f t="shared" si="2"/>
        <v>127500</v>
      </c>
      <c r="I10" s="141"/>
      <c r="J10" s="57"/>
      <c r="K10" s="57"/>
      <c r="L10" s="142"/>
      <c r="M10" s="142"/>
      <c r="N10" s="142"/>
    </row>
    <row r="11" spans="1:14" ht="21" customHeight="1">
      <c r="A11" s="134">
        <f t="shared" si="0"/>
        <v>8</v>
      </c>
      <c r="B11" s="135" t="s">
        <v>59</v>
      </c>
      <c r="C11" s="135">
        <v>30</v>
      </c>
      <c r="D11" s="136">
        <v>30</v>
      </c>
      <c r="E11" s="139">
        <v>2</v>
      </c>
      <c r="F11" s="138">
        <f>100000</f>
        <v>100000</v>
      </c>
      <c r="G11" s="138">
        <f t="shared" si="1"/>
        <v>11000</v>
      </c>
      <c r="H11" s="132">
        <f t="shared" si="2"/>
        <v>111000</v>
      </c>
      <c r="I11" s="141"/>
      <c r="J11" s="57"/>
      <c r="K11" s="57"/>
    </row>
    <row r="12" spans="1:14" s="142" customFormat="1" ht="21" customHeight="1">
      <c r="A12" s="134">
        <f t="shared" si="0"/>
        <v>9</v>
      </c>
      <c r="B12" s="135" t="s">
        <v>60</v>
      </c>
      <c r="C12" s="135">
        <v>30</v>
      </c>
      <c r="D12" s="136">
        <v>30</v>
      </c>
      <c r="E12" s="139">
        <v>8</v>
      </c>
      <c r="F12" s="138">
        <v>100000</v>
      </c>
      <c r="G12" s="138">
        <f t="shared" si="1"/>
        <v>44000</v>
      </c>
      <c r="H12" s="132">
        <f t="shared" si="2"/>
        <v>144000</v>
      </c>
      <c r="I12" s="141"/>
      <c r="J12" s="57">
        <f>100000-F12</f>
        <v>0</v>
      </c>
      <c r="K12" s="57"/>
      <c r="L12" s="5"/>
      <c r="M12" s="5"/>
      <c r="N12" s="5"/>
    </row>
    <row r="13" spans="1:14" ht="21" customHeight="1">
      <c r="A13" s="134">
        <f t="shared" si="0"/>
        <v>10</v>
      </c>
      <c r="B13" s="135" t="s">
        <v>61</v>
      </c>
      <c r="C13" s="135">
        <v>30</v>
      </c>
      <c r="D13" s="136">
        <v>30</v>
      </c>
      <c r="E13" s="139">
        <v>3</v>
      </c>
      <c r="F13" s="138">
        <f>100000</f>
        <v>100000</v>
      </c>
      <c r="G13" s="138">
        <f t="shared" si="1"/>
        <v>16500</v>
      </c>
      <c r="H13" s="132">
        <f t="shared" si="2"/>
        <v>116500</v>
      </c>
      <c r="I13" s="141"/>
      <c r="J13" s="57"/>
      <c r="K13" s="57"/>
    </row>
    <row r="14" spans="1:14" ht="21" customHeight="1">
      <c r="A14" s="134">
        <f t="shared" si="0"/>
        <v>11</v>
      </c>
      <c r="B14" s="135" t="s">
        <v>63</v>
      </c>
      <c r="C14" s="135">
        <v>30</v>
      </c>
      <c r="D14" s="136">
        <v>30</v>
      </c>
      <c r="E14" s="139">
        <v>2</v>
      </c>
      <c r="F14" s="143">
        <f>190000</f>
        <v>190000</v>
      </c>
      <c r="G14" s="138">
        <f t="shared" si="1"/>
        <v>11000</v>
      </c>
      <c r="H14" s="132">
        <f t="shared" si="2"/>
        <v>201000</v>
      </c>
      <c r="I14" s="144"/>
      <c r="J14" s="57"/>
      <c r="K14" s="57"/>
    </row>
    <row r="15" spans="1:14" ht="21" customHeight="1">
      <c r="A15" s="134">
        <f t="shared" si="0"/>
        <v>12</v>
      </c>
      <c r="B15" s="135" t="s">
        <v>66</v>
      </c>
      <c r="C15" s="135">
        <v>30</v>
      </c>
      <c r="D15" s="136">
        <v>30</v>
      </c>
      <c r="E15" s="139">
        <v>8</v>
      </c>
      <c r="F15" s="138">
        <v>100000</v>
      </c>
      <c r="G15" s="138">
        <f t="shared" si="1"/>
        <v>44000</v>
      </c>
      <c r="H15" s="132">
        <f t="shared" si="2"/>
        <v>144000</v>
      </c>
      <c r="I15" s="144"/>
      <c r="J15" s="57"/>
      <c r="K15" s="57"/>
    </row>
    <row r="16" spans="1:14" ht="20.25" customHeight="1">
      <c r="A16" s="134">
        <f t="shared" si="0"/>
        <v>13</v>
      </c>
      <c r="B16" s="135" t="s">
        <v>68</v>
      </c>
      <c r="C16" s="135">
        <v>30</v>
      </c>
      <c r="D16" s="136">
        <v>30</v>
      </c>
      <c r="E16" s="139">
        <v>6</v>
      </c>
      <c r="F16" s="138">
        <f t="shared" ref="F16:F22" si="3">100000</f>
        <v>100000</v>
      </c>
      <c r="G16" s="138">
        <f t="shared" si="1"/>
        <v>33000</v>
      </c>
      <c r="H16" s="132">
        <f t="shared" si="2"/>
        <v>133000</v>
      </c>
      <c r="I16" s="144"/>
      <c r="J16" s="57"/>
      <c r="K16" s="57"/>
    </row>
    <row r="17" spans="1:23" ht="21" customHeight="1" thickBot="1">
      <c r="A17" s="134">
        <f t="shared" si="0"/>
        <v>14</v>
      </c>
      <c r="B17" s="135" t="s">
        <v>70</v>
      </c>
      <c r="C17" s="135">
        <v>30</v>
      </c>
      <c r="D17" s="136">
        <v>30</v>
      </c>
      <c r="E17" s="139">
        <v>5</v>
      </c>
      <c r="F17" s="138">
        <f t="shared" si="3"/>
        <v>100000</v>
      </c>
      <c r="G17" s="138">
        <f t="shared" si="1"/>
        <v>27500</v>
      </c>
      <c r="H17" s="132">
        <f t="shared" si="2"/>
        <v>127500</v>
      </c>
      <c r="I17" s="144"/>
      <c r="J17" s="57"/>
    </row>
    <row r="18" spans="1:23" ht="21" customHeight="1" thickBot="1">
      <c r="A18" s="134">
        <f t="shared" si="0"/>
        <v>15</v>
      </c>
      <c r="B18" s="135" t="s">
        <v>71</v>
      </c>
      <c r="C18" s="135">
        <v>30</v>
      </c>
      <c r="D18" s="136">
        <v>30</v>
      </c>
      <c r="E18" s="139">
        <v>6</v>
      </c>
      <c r="F18" s="138">
        <f t="shared" si="3"/>
        <v>100000</v>
      </c>
      <c r="G18" s="138">
        <f t="shared" si="1"/>
        <v>33000</v>
      </c>
      <c r="H18" s="132">
        <f t="shared" si="2"/>
        <v>133000</v>
      </c>
      <c r="I18" s="130"/>
      <c r="K18" s="145"/>
      <c r="L18" s="145"/>
      <c r="M18" s="145"/>
      <c r="N18" s="145"/>
    </row>
    <row r="19" spans="1:23" ht="21" customHeight="1" thickBot="1">
      <c r="A19" s="134">
        <f t="shared" si="0"/>
        <v>16</v>
      </c>
      <c r="B19" s="135" t="s">
        <v>74</v>
      </c>
      <c r="C19" s="135">
        <v>30</v>
      </c>
      <c r="D19" s="136">
        <v>30</v>
      </c>
      <c r="E19" s="139">
        <v>4</v>
      </c>
      <c r="F19" s="138">
        <f t="shared" si="3"/>
        <v>100000</v>
      </c>
      <c r="G19" s="138">
        <f t="shared" si="1"/>
        <v>22000</v>
      </c>
      <c r="H19" s="132">
        <f t="shared" si="2"/>
        <v>122000</v>
      </c>
      <c r="I19" s="130"/>
      <c r="K19" s="145"/>
      <c r="L19" s="145"/>
      <c r="M19" s="145"/>
      <c r="N19" s="145"/>
    </row>
    <row r="20" spans="1:23" ht="21" customHeight="1" thickBot="1">
      <c r="A20" s="134">
        <f t="shared" si="0"/>
        <v>17</v>
      </c>
      <c r="B20" s="135" t="s">
        <v>76</v>
      </c>
      <c r="C20" s="135">
        <v>30</v>
      </c>
      <c r="D20" s="136">
        <v>30</v>
      </c>
      <c r="E20" s="139">
        <v>3</v>
      </c>
      <c r="F20" s="138">
        <f t="shared" si="3"/>
        <v>100000</v>
      </c>
      <c r="G20" s="138">
        <f t="shared" si="1"/>
        <v>16500</v>
      </c>
      <c r="H20" s="132">
        <f t="shared" si="2"/>
        <v>116500</v>
      </c>
      <c r="I20" s="130"/>
      <c r="K20" s="145"/>
      <c r="L20" s="145"/>
      <c r="M20" s="145"/>
      <c r="N20" s="145"/>
    </row>
    <row r="21" spans="1:23" ht="21" customHeight="1" thickBot="1">
      <c r="A21" s="134">
        <f t="shared" si="0"/>
        <v>18</v>
      </c>
      <c r="B21" s="135" t="s">
        <v>78</v>
      </c>
      <c r="C21" s="135">
        <v>30</v>
      </c>
      <c r="D21" s="136">
        <v>30</v>
      </c>
      <c r="E21" s="139">
        <v>6</v>
      </c>
      <c r="F21" s="138">
        <f t="shared" si="3"/>
        <v>100000</v>
      </c>
      <c r="G21" s="138">
        <f t="shared" si="1"/>
        <v>33000</v>
      </c>
      <c r="H21" s="132">
        <f t="shared" si="2"/>
        <v>133000</v>
      </c>
      <c r="I21" s="130"/>
      <c r="K21" s="145"/>
      <c r="L21" s="145"/>
      <c r="M21" s="145"/>
      <c r="N21" s="145"/>
    </row>
    <row r="22" spans="1:23" ht="21" customHeight="1" thickBot="1">
      <c r="A22" s="134">
        <f t="shared" si="0"/>
        <v>19</v>
      </c>
      <c r="B22" s="135" t="s">
        <v>79</v>
      </c>
      <c r="C22" s="135">
        <v>30</v>
      </c>
      <c r="D22" s="136">
        <v>30</v>
      </c>
      <c r="E22" s="137">
        <v>2</v>
      </c>
      <c r="F22" s="138">
        <f t="shared" si="3"/>
        <v>100000</v>
      </c>
      <c r="G22" s="132">
        <f t="shared" si="1"/>
        <v>11000</v>
      </c>
      <c r="H22" s="132">
        <f t="shared" si="2"/>
        <v>111000</v>
      </c>
      <c r="I22" s="130"/>
      <c r="K22" s="145"/>
      <c r="L22" s="145"/>
      <c r="M22" s="145"/>
      <c r="N22" s="145"/>
    </row>
    <row r="23" spans="1:23" ht="21" customHeight="1" thickBot="1">
      <c r="A23" s="134">
        <f t="shared" si="0"/>
        <v>20</v>
      </c>
      <c r="B23" s="135" t="s">
        <v>82</v>
      </c>
      <c r="C23" s="135">
        <v>30</v>
      </c>
      <c r="D23" s="136">
        <v>30</v>
      </c>
      <c r="E23" s="137">
        <v>3</v>
      </c>
      <c r="F23" s="138">
        <f>100000</f>
        <v>100000</v>
      </c>
      <c r="G23" s="132">
        <f t="shared" si="1"/>
        <v>16500</v>
      </c>
      <c r="H23" s="132">
        <f t="shared" si="2"/>
        <v>116500</v>
      </c>
      <c r="I23" s="130"/>
      <c r="K23" s="145"/>
      <c r="L23" s="145"/>
      <c r="M23" s="145"/>
      <c r="N23" s="145"/>
    </row>
    <row r="24" spans="1:23" ht="21" customHeight="1" thickBot="1">
      <c r="A24" s="134">
        <f t="shared" si="0"/>
        <v>21</v>
      </c>
      <c r="B24" s="135" t="s">
        <v>84</v>
      </c>
      <c r="C24" s="135">
        <v>30</v>
      </c>
      <c r="D24" s="146">
        <v>29</v>
      </c>
      <c r="E24" s="137">
        <v>2</v>
      </c>
      <c r="F24" s="143">
        <f>100000-(4000*1)</f>
        <v>96000</v>
      </c>
      <c r="G24" s="132">
        <f t="shared" si="1"/>
        <v>11000</v>
      </c>
      <c r="H24" s="132">
        <f t="shared" si="2"/>
        <v>107000</v>
      </c>
      <c r="I24" s="130"/>
      <c r="K24" s="145"/>
      <c r="L24" s="145"/>
      <c r="M24" s="145"/>
      <c r="N24" s="145"/>
    </row>
    <row r="25" spans="1:23" ht="21" customHeight="1" thickBot="1">
      <c r="A25" s="134">
        <f t="shared" si="0"/>
        <v>22</v>
      </c>
      <c r="B25" s="135" t="s">
        <v>86</v>
      </c>
      <c r="C25" s="135">
        <v>30</v>
      </c>
      <c r="D25" s="146">
        <v>29</v>
      </c>
      <c r="E25" s="137">
        <v>4</v>
      </c>
      <c r="F25" s="143">
        <f>100000-(4000*1)</f>
        <v>96000</v>
      </c>
      <c r="G25" s="132">
        <f t="shared" si="1"/>
        <v>22000</v>
      </c>
      <c r="H25" s="132">
        <f t="shared" si="2"/>
        <v>118000</v>
      </c>
      <c r="I25" s="130"/>
      <c r="K25" s="145"/>
      <c r="L25" s="145"/>
      <c r="M25" s="145"/>
      <c r="N25" s="145"/>
    </row>
    <row r="26" spans="1:23" ht="21" customHeight="1" thickBot="1">
      <c r="A26" s="134">
        <f t="shared" si="0"/>
        <v>23</v>
      </c>
      <c r="B26" s="135" t="s">
        <v>88</v>
      </c>
      <c r="C26" s="135">
        <v>30</v>
      </c>
      <c r="D26" s="136">
        <v>30</v>
      </c>
      <c r="E26" s="137">
        <v>3</v>
      </c>
      <c r="F26" s="132">
        <f>100000</f>
        <v>100000</v>
      </c>
      <c r="G26" s="132">
        <f t="shared" si="1"/>
        <v>16500</v>
      </c>
      <c r="H26" s="132">
        <f t="shared" si="2"/>
        <v>116500</v>
      </c>
      <c r="I26" s="130"/>
      <c r="K26" s="145"/>
      <c r="L26" s="145"/>
      <c r="M26" s="145"/>
      <c r="N26" s="145"/>
    </row>
    <row r="27" spans="1:23" ht="21" customHeight="1" thickBot="1">
      <c r="A27" s="134">
        <f t="shared" si="0"/>
        <v>24</v>
      </c>
      <c r="B27" s="135" t="s">
        <v>97</v>
      </c>
      <c r="C27" s="135">
        <v>30</v>
      </c>
      <c r="D27" s="135">
        <v>30</v>
      </c>
      <c r="E27" s="137">
        <v>5</v>
      </c>
      <c r="F27" s="132">
        <f>ROUND(100000,0)</f>
        <v>100000</v>
      </c>
      <c r="G27" s="132">
        <f t="shared" si="1"/>
        <v>27500</v>
      </c>
      <c r="H27" s="132">
        <f t="shared" si="2"/>
        <v>127500</v>
      </c>
      <c r="I27" s="130"/>
      <c r="K27" s="145"/>
      <c r="L27" s="145"/>
      <c r="M27" s="145"/>
      <c r="N27" s="145"/>
    </row>
    <row r="28" spans="1:23" ht="21" customHeight="1" thickBot="1">
      <c r="A28" s="134">
        <f t="shared" si="0"/>
        <v>25</v>
      </c>
      <c r="B28" s="135" t="s">
        <v>90</v>
      </c>
      <c r="C28" s="135">
        <v>7</v>
      </c>
      <c r="D28" s="135">
        <v>7</v>
      </c>
      <c r="E28" s="137">
        <v>0</v>
      </c>
      <c r="F28" s="138">
        <f>ROUND(100000/30*7,-1)</f>
        <v>23330</v>
      </c>
      <c r="G28" s="132">
        <f t="shared" si="1"/>
        <v>0</v>
      </c>
      <c r="H28" s="132">
        <f t="shared" si="2"/>
        <v>23330</v>
      </c>
      <c r="I28" s="130"/>
      <c r="K28" s="145"/>
      <c r="L28" s="145"/>
      <c r="M28" s="145"/>
      <c r="N28" s="145"/>
    </row>
    <row r="29" spans="1:23" ht="21" customHeight="1" thickBot="1">
      <c r="A29" s="134">
        <f t="shared" si="0"/>
        <v>26</v>
      </c>
      <c r="B29" s="135" t="s">
        <v>93</v>
      </c>
      <c r="C29" s="135">
        <v>30</v>
      </c>
      <c r="D29" s="141">
        <v>29</v>
      </c>
      <c r="E29" s="137">
        <v>0</v>
      </c>
      <c r="F29" s="143">
        <f>100000-(4000*1)</f>
        <v>96000</v>
      </c>
      <c r="G29" s="132">
        <f>$K$3*E29</f>
        <v>0</v>
      </c>
      <c r="H29" s="132">
        <f>SUM(F29:G29)</f>
        <v>96000</v>
      </c>
      <c r="I29" s="130"/>
      <c r="K29" s="145"/>
      <c r="L29" s="145"/>
      <c r="M29" s="145"/>
      <c r="N29" s="145"/>
    </row>
    <row r="30" spans="1:23" ht="21" customHeight="1">
      <c r="A30" s="134">
        <f t="shared" si="0"/>
        <v>27</v>
      </c>
      <c r="B30" s="135" t="s">
        <v>95</v>
      </c>
      <c r="C30" s="135">
        <v>10</v>
      </c>
      <c r="D30" s="135">
        <v>10</v>
      </c>
      <c r="E30" s="137">
        <v>0</v>
      </c>
      <c r="F30" s="138">
        <f>ROUND(100000/30*10,-1)</f>
        <v>33330</v>
      </c>
      <c r="G30" s="132">
        <f t="shared" si="1"/>
        <v>0</v>
      </c>
      <c r="H30" s="132">
        <f t="shared" si="2"/>
        <v>33330</v>
      </c>
      <c r="I30" s="130"/>
      <c r="K30" s="145"/>
      <c r="L30" s="145"/>
      <c r="M30" s="145"/>
      <c r="N30" s="145"/>
    </row>
    <row r="31" spans="1:23" ht="18" thickBot="1">
      <c r="A31" s="220" t="s">
        <v>117</v>
      </c>
      <c r="B31" s="220"/>
      <c r="C31" s="147">
        <f t="shared" ref="C31:H31" si="4">SUM(C4:C30)</f>
        <v>767</v>
      </c>
      <c r="D31" s="147">
        <f t="shared" si="4"/>
        <v>764</v>
      </c>
      <c r="E31" s="148">
        <f t="shared" si="4"/>
        <v>93</v>
      </c>
      <c r="F31" s="148">
        <f t="shared" si="4"/>
        <v>2634660</v>
      </c>
      <c r="G31" s="148">
        <f t="shared" si="4"/>
        <v>511500</v>
      </c>
      <c r="H31" s="148">
        <f t="shared" si="4"/>
        <v>3146160</v>
      </c>
      <c r="I31" s="149"/>
    </row>
    <row r="32" spans="1:23" ht="18" thickBot="1">
      <c r="D32" s="221"/>
      <c r="E32" s="221"/>
      <c r="J32" s="145"/>
      <c r="O32" s="145"/>
      <c r="P32" s="145"/>
      <c r="Q32" s="145"/>
      <c r="R32" s="145"/>
      <c r="S32" s="145"/>
      <c r="T32" s="145"/>
      <c r="U32" s="145"/>
      <c r="V32" s="145"/>
      <c r="W32" s="150"/>
    </row>
    <row r="33" spans="1:23" ht="25.8" thickBot="1">
      <c r="A33" s="222" t="s">
        <v>118</v>
      </c>
      <c r="B33" s="223"/>
      <c r="C33" s="223"/>
      <c r="D33" s="223"/>
      <c r="E33" s="223"/>
      <c r="F33" s="223"/>
      <c r="G33" s="223"/>
      <c r="H33" s="223"/>
      <c r="I33" s="223"/>
      <c r="J33" s="151"/>
      <c r="O33" s="151"/>
      <c r="P33" s="151"/>
      <c r="Q33" s="151"/>
      <c r="R33" s="151"/>
      <c r="S33" s="151"/>
      <c r="T33" s="151"/>
      <c r="U33" s="151"/>
      <c r="V33" s="151"/>
      <c r="W33" s="152"/>
    </row>
    <row r="34" spans="1:23" ht="18" thickBot="1">
      <c r="A34" s="153"/>
      <c r="B34" s="151"/>
      <c r="C34" s="151"/>
      <c r="D34" s="151"/>
      <c r="E34" s="151"/>
      <c r="F34" s="151"/>
      <c r="G34" s="151"/>
      <c r="H34" s="151"/>
      <c r="I34" s="151"/>
    </row>
    <row r="56" spans="1:23" ht="18" thickBot="1"/>
    <row r="57" spans="1:23">
      <c r="K57" s="145"/>
      <c r="L57" s="145"/>
      <c r="M57" s="145"/>
      <c r="N57" s="145"/>
    </row>
    <row r="60" spans="1:23" ht="18" thickBot="1">
      <c r="K60" s="151"/>
      <c r="L60" s="151"/>
      <c r="M60" s="151"/>
      <c r="N60" s="151"/>
    </row>
    <row r="61" spans="1:23" ht="18" thickBot="1"/>
    <row r="62" spans="1:23" ht="18" thickBot="1">
      <c r="J62" s="145"/>
      <c r="O62" s="145"/>
      <c r="P62" s="145"/>
      <c r="Q62" s="145"/>
      <c r="R62" s="145"/>
      <c r="S62" s="145"/>
      <c r="T62" s="145"/>
      <c r="U62" s="145"/>
      <c r="V62" s="145"/>
      <c r="W62" s="150"/>
    </row>
    <row r="63" spans="1:23">
      <c r="A63" s="154"/>
      <c r="B63" s="145"/>
      <c r="C63" s="145"/>
      <c r="D63" s="145"/>
      <c r="E63" s="145"/>
      <c r="F63" s="145"/>
      <c r="G63" s="145"/>
      <c r="H63" s="145"/>
      <c r="I63" s="145"/>
      <c r="W63" s="155"/>
    </row>
    <row r="64" spans="1:23" s="87" customFormat="1">
      <c r="A64" s="156">
        <v>32</v>
      </c>
      <c r="I64" s="123">
        <f>I62-'[1]25.10'!I61</f>
        <v>-57638020</v>
      </c>
      <c r="J64" s="123">
        <f>J63-'[1]25.10'!J62</f>
        <v>-16254770</v>
      </c>
      <c r="K64" s="123">
        <f>K63-'[1]25.10'!K62</f>
        <v>0</v>
      </c>
      <c r="L64" s="123">
        <f>L63-'[1]25.10'!L62</f>
        <v>-6121620</v>
      </c>
      <c r="M64" s="123">
        <f>M63-'[1]25.10'!M62</f>
        <v>-12527790</v>
      </c>
      <c r="N64" s="123">
        <f>N63-'[1]25.10'!N62</f>
        <v>-753040</v>
      </c>
      <c r="O64" s="123">
        <f>O63-'[1]25.10'!O62</f>
        <v>169660</v>
      </c>
      <c r="P64" s="123">
        <f>P62-'[1]25.10'!P61</f>
        <v>-412864.8803827751</v>
      </c>
      <c r="Q64" s="123">
        <f>Q63-'[1]25.10'!Q62</f>
        <v>0</v>
      </c>
      <c r="R64" s="123">
        <f>R63-'[1]25.10'!R62</f>
        <v>0</v>
      </c>
      <c r="W64" s="157"/>
    </row>
    <row r="65" spans="1:23" s="87" customFormat="1" ht="18" thickBot="1">
      <c r="A65" s="156"/>
      <c r="I65" s="123">
        <f>I63-'[1]25.10'!I62</f>
        <v>504480</v>
      </c>
      <c r="J65" s="158"/>
      <c r="O65" s="158"/>
      <c r="P65" s="158"/>
      <c r="Q65" s="158"/>
      <c r="R65" s="158"/>
      <c r="S65" s="158"/>
      <c r="T65" s="158"/>
      <c r="U65" s="158"/>
      <c r="V65" s="158"/>
      <c r="W65" s="159"/>
    </row>
    <row r="66" spans="1:23" ht="18" thickBot="1">
      <c r="A66" s="153"/>
      <c r="B66" s="151"/>
      <c r="C66" s="151"/>
      <c r="D66" s="151"/>
      <c r="E66" s="151"/>
      <c r="F66" s="151"/>
      <c r="G66" s="151"/>
      <c r="H66" s="151"/>
      <c r="I66" s="151"/>
    </row>
    <row r="68" spans="1:23">
      <c r="D68" s="5">
        <v>760202</v>
      </c>
    </row>
  </sheetData>
  <mergeCells count="5">
    <mergeCell ref="A1:I1"/>
    <mergeCell ref="H2:I2"/>
    <mergeCell ref="A31:B31"/>
    <mergeCell ref="D32:E32"/>
    <mergeCell ref="A33:I33"/>
  </mergeCells>
  <phoneticPr fontId="3" type="noConversion"/>
  <printOptions horizontalCentered="1"/>
  <pageMargins left="0.39370078740157483" right="0" top="0.62992125984251968" bottom="0.35433070866141736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26.05</vt:lpstr>
      <vt:lpstr>교통비,식대(26.5)</vt:lpstr>
      <vt:lpstr>'26.05'!Print_Area</vt:lpstr>
      <vt:lpstr>'교통비,식대(26.5)'!Print_Area</vt:lpstr>
      <vt:lpstr>'26.05'!Print_Titles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2026-05-22T04:35:40Z</dcterms:created>
  <dcterms:modified xsi:type="dcterms:W3CDTF">2026-05-26T04:08:28Z</dcterms:modified>
</cp:coreProperties>
</file>
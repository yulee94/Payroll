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5DF25302-CA54-42E1-8968-95B43F2DFEA7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heet title" sheetId="1" r:id="rId1"/>
  </sheets>
  <calcPr calcId="191029"/>
</workbook>
</file>

<file path=xl/calcChain.xml><?xml version="1.0" encoding="utf-8"?>
<calcChain xmlns="http://schemas.openxmlformats.org/spreadsheetml/2006/main">
  <c r="T25" i="1" l="1"/>
  <c r="T26" i="1"/>
  <c r="T27" i="1"/>
  <c r="T28" i="1"/>
  <c r="T29" i="1"/>
  <c r="W27" i="1"/>
  <c r="W28" i="1"/>
  <c r="W29" i="1" l="1"/>
  <c r="T3" i="1" l="1"/>
  <c r="W26" i="1" l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</calcChain>
</file>

<file path=xl/sharedStrings.xml><?xml version="1.0" encoding="utf-8"?>
<sst xmlns="http://schemas.openxmlformats.org/spreadsheetml/2006/main" count="253" uniqueCount="90">
  <si>
    <t>인사항목</t>
  </si>
  <si>
    <t/>
  </si>
  <si>
    <t>지급항목</t>
  </si>
  <si>
    <t>공제항목</t>
  </si>
  <si>
    <t>근로항목</t>
  </si>
  <si>
    <t>이름(필수)</t>
  </si>
  <si>
    <t>전화번호(필수)</t>
  </si>
  <si>
    <t>생년월일(필수)</t>
  </si>
  <si>
    <t>임금지급일(필수)</t>
  </si>
  <si>
    <t>기본급여</t>
  </si>
  <si>
    <t>소득세</t>
  </si>
  <si>
    <t>지방소득세</t>
  </si>
  <si>
    <t>고용보험</t>
  </si>
  <si>
    <t>근로일수</t>
  </si>
  <si>
    <t>시급</t>
    <phoneticPr fontId="10" type="noConversion"/>
  </si>
  <si>
    <t>건강보험</t>
    <phoneticPr fontId="10" type="noConversion"/>
  </si>
  <si>
    <t>국민연금</t>
    <phoneticPr fontId="10" type="noConversion"/>
  </si>
  <si>
    <t>특근연장수당</t>
    <phoneticPr fontId="10" type="noConversion"/>
  </si>
  <si>
    <t>특근연장시간</t>
    <phoneticPr fontId="10" type="noConversion"/>
  </si>
  <si>
    <t>특근수당</t>
    <phoneticPr fontId="10" type="noConversion"/>
  </si>
  <si>
    <t>지각/조퇴공제</t>
    <phoneticPr fontId="10" type="noConversion"/>
  </si>
  <si>
    <t>지각/조퇴시간</t>
    <phoneticPr fontId="10" type="noConversion"/>
  </si>
  <si>
    <r>
      <t>25</t>
    </r>
    <r>
      <rPr>
        <sz val="12"/>
        <rFont val="돋움"/>
        <family val="3"/>
        <charset val="129"/>
      </rPr>
      <t>일</t>
    </r>
    <phoneticPr fontId="10" type="noConversion"/>
  </si>
  <si>
    <t>연장수당</t>
    <phoneticPr fontId="10" type="noConversion"/>
  </si>
  <si>
    <t>교대수당</t>
    <phoneticPr fontId="10" type="noConversion"/>
  </si>
  <si>
    <t>심야수당</t>
    <phoneticPr fontId="10" type="noConversion"/>
  </si>
  <si>
    <t>직책수당</t>
    <phoneticPr fontId="10" type="noConversion"/>
  </si>
  <si>
    <t>애로직군수당</t>
    <phoneticPr fontId="10" type="noConversion"/>
  </si>
  <si>
    <t>연차수당</t>
    <phoneticPr fontId="10" type="noConversion"/>
  </si>
  <si>
    <t>전월수정</t>
    <phoneticPr fontId="10" type="noConversion"/>
  </si>
  <si>
    <t>기본공제</t>
    <phoneticPr fontId="10" type="noConversion"/>
  </si>
  <si>
    <t>연장시간</t>
    <phoneticPr fontId="10" type="noConversion"/>
  </si>
  <si>
    <t>교대시간</t>
    <phoneticPr fontId="10" type="noConversion"/>
  </si>
  <si>
    <t>심야시간</t>
    <phoneticPr fontId="10" type="noConversion"/>
  </si>
  <si>
    <t>특근시간</t>
    <phoneticPr fontId="10" type="noConversion"/>
  </si>
  <si>
    <t>유향순</t>
  </si>
  <si>
    <t>박복연</t>
  </si>
  <si>
    <t>박영애</t>
  </si>
  <si>
    <t>박인숙</t>
  </si>
  <si>
    <t>김미정</t>
  </si>
  <si>
    <t>신현숙</t>
  </si>
  <si>
    <t>이점희</t>
  </si>
  <si>
    <t>김선영</t>
  </si>
  <si>
    <t>박현미</t>
  </si>
  <si>
    <t>최둘연</t>
  </si>
  <si>
    <t>김정태</t>
  </si>
  <si>
    <t>이정옥</t>
  </si>
  <si>
    <t>강영선</t>
  </si>
  <si>
    <t>최정숙</t>
  </si>
  <si>
    <t>김은희</t>
  </si>
  <si>
    <t>김수진</t>
  </si>
  <si>
    <t>배슬아</t>
  </si>
  <si>
    <t>정선심</t>
  </si>
  <si>
    <t>하지은</t>
  </si>
  <si>
    <t>김리라</t>
  </si>
  <si>
    <t>백경희</t>
  </si>
  <si>
    <t>박춘복</t>
  </si>
  <si>
    <t>김지혜</t>
  </si>
  <si>
    <t>통상시급</t>
    <phoneticPr fontId="10" type="noConversion"/>
  </si>
  <si>
    <t>공제일수</t>
    <phoneticPr fontId="10" type="noConversion"/>
  </si>
  <si>
    <t>010-2558-1927</t>
  </si>
  <si>
    <t>010-2803-2349</t>
  </si>
  <si>
    <t>010-4932-5311</t>
  </si>
  <si>
    <t>010-9496-9872</t>
  </si>
  <si>
    <t>010-7723-0834</t>
  </si>
  <si>
    <t>010-2075-4367</t>
  </si>
  <si>
    <t>010-2589-8557</t>
  </si>
  <si>
    <t>010-9188-7501</t>
  </si>
  <si>
    <t>010-9663-4478</t>
  </si>
  <si>
    <t>010-4855-3558</t>
  </si>
  <si>
    <t>010-3016-3587</t>
  </si>
  <si>
    <t>010-4792-3260</t>
  </si>
  <si>
    <t>010-3354-5030</t>
  </si>
  <si>
    <t>010-8813-5808</t>
  </si>
  <si>
    <t>010-3098-1313</t>
  </si>
  <si>
    <t>010-7262-6651</t>
  </si>
  <si>
    <t>010-2448-6832</t>
  </si>
  <si>
    <t>010-3974-7975</t>
  </si>
  <si>
    <t>010-9489-7908</t>
  </si>
  <si>
    <t>010-7490-0062</t>
  </si>
  <si>
    <t>010-8583-9937</t>
  </si>
  <si>
    <t>010-2808-2104</t>
  </si>
  <si>
    <r>
      <t>010-40</t>
    </r>
    <r>
      <rPr>
        <sz val="12"/>
        <rFont val="Calibri"/>
        <family val="2"/>
      </rPr>
      <t>93</t>
    </r>
    <r>
      <rPr>
        <sz val="12"/>
        <rFont val="Calibri"/>
        <family val="2"/>
      </rPr>
      <t>-9906</t>
    </r>
    <phoneticPr fontId="10" type="noConversion"/>
  </si>
  <si>
    <t>박진환</t>
  </si>
  <si>
    <t>010-7220-2625</t>
    <phoneticPr fontId="10" type="noConversion"/>
  </si>
  <si>
    <t>김소희</t>
    <phoneticPr fontId="10" type="noConversion"/>
  </si>
  <si>
    <t>010-9145-9807</t>
    <phoneticPr fontId="10" type="noConversion"/>
  </si>
  <si>
    <t>건강보험정산</t>
    <phoneticPr fontId="10" type="noConversion"/>
  </si>
  <si>
    <t>강봉식</t>
    <phoneticPr fontId="10" type="noConversion"/>
  </si>
  <si>
    <t>장향연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</si>
</sst>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4" x14ac:knownFonts="1">
    <font>
      <sz val="12"/>
      <name val="Calibri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1">
      <alignment vertical="center"/>
    </xf>
    <xf numFmtId="41" fontId="13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0" fontId="8" fillId="8" borderId="0" xfId="0" applyFont="1" applyFill="1"/>
    <xf numFmtId="0" fontId="1" fillId="3" borderId="0" xfId="0" applyFont="1" applyFill="1"/>
    <xf numFmtId="0" fontId="11" fillId="5" borderId="0" xfId="0" applyFont="1" applyFill="1"/>
    <xf numFmtId="0" fontId="11" fillId="8" borderId="0" xfId="0" applyFont="1" applyFill="1"/>
    <xf numFmtId="0" fontId="11" fillId="3" borderId="0" xfId="0" applyFont="1" applyFill="1"/>
    <xf numFmtId="41" fontId="5" fillId="5" borderId="0" xfId="2" applyFont="1" applyFill="1" applyAlignment="1"/>
    <xf numFmtId="41" fontId="7" fillId="7" borderId="0" xfId="2" applyFont="1" applyFill="1" applyAlignment="1"/>
    <xf numFmtId="41" fontId="1" fillId="3" borderId="0" xfId="2" applyFont="1" applyFill="1" applyAlignment="1"/>
    <xf numFmtId="0" fontId="12" fillId="2" borderId="0" xfId="0" applyFont="1" applyFill="1" applyAlignment="1">
      <alignment horizontal="center"/>
    </xf>
    <xf numFmtId="0" fontId="11" fillId="7" borderId="0" xfId="0" applyFont="1" applyFill="1"/>
    <xf numFmtId="41" fontId="1" fillId="7" borderId="0" xfId="2" applyFont="1" applyFill="1" applyAlignment="1"/>
    <xf numFmtId="176" fontId="8" fillId="8" borderId="0" xfId="0" applyNumberFormat="1" applyFont="1" applyFill="1"/>
    <xf numFmtId="41" fontId="3" fillId="3" borderId="0" xfId="2" applyFont="1" applyFill="1" applyAlignment="1"/>
    <xf numFmtId="176" fontId="1" fillId="8" borderId="0" xfId="0" applyNumberFormat="1" applyFont="1" applyFill="1"/>
    <xf numFmtId="2" fontId="8" fillId="8" borderId="0" xfId="0" applyNumberFormat="1" applyFont="1" applyFill="1"/>
    <xf numFmtId="0" fontId="1" fillId="8" borderId="0" xfId="0" applyFont="1" applyFill="1"/>
  </cellXfs>
  <cellStyles count="3">
    <cellStyle name="쉼표 [0]" xfId="2" builtinId="6"/>
    <cellStyle name="표준" xfId="0" builtinId="0"/>
    <cellStyle name="표준 4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defaultRowHeight="15.6" x14ac:dyDescent="0.3"/>
  <cols>
    <col min="1" max="3" width="15.8984375" customWidth="1"/>
    <col min="4" max="5" width="15.8984375" style="1" customWidth="1"/>
    <col min="6" max="7" width="15.8984375" customWidth="1"/>
    <col min="8" max="18" width="15.8984375" style="1" customWidth="1"/>
    <col min="19" max="22" width="15.8984375" customWidth="1"/>
    <col min="23" max="32" width="15.8984375" style="1" customWidth="1"/>
  </cols>
  <sheetData>
    <row r="1" spans="1:32" x14ac:dyDescent="0.3">
      <c r="A1" s="2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6" t="s">
        <v>3</v>
      </c>
      <c r="T1" s="7" t="s">
        <v>1</v>
      </c>
      <c r="U1" s="7" t="s">
        <v>1</v>
      </c>
      <c r="V1" s="7" t="s">
        <v>1</v>
      </c>
      <c r="W1" s="7" t="s">
        <v>1</v>
      </c>
      <c r="X1" s="7"/>
      <c r="Y1" s="8" t="s">
        <v>4</v>
      </c>
      <c r="Z1" s="8"/>
      <c r="AA1" s="8"/>
      <c r="AB1" s="8" t="s">
        <v>1</v>
      </c>
      <c r="AC1" s="8"/>
      <c r="AD1" s="8"/>
      <c r="AE1" s="8"/>
      <c r="AF1" s="8"/>
    </row>
    <row r="2" spans="1:32" ht="16.2" x14ac:dyDescent="0.3">
      <c r="A2" s="2" t="s">
        <v>5</v>
      </c>
      <c r="B2" s="2" t="s">
        <v>6</v>
      </c>
      <c r="C2" s="2" t="s">
        <v>7</v>
      </c>
      <c r="D2" s="2" t="s">
        <v>8</v>
      </c>
      <c r="E2" s="16" t="s">
        <v>14</v>
      </c>
      <c r="F2" s="16" t="s">
        <v>58</v>
      </c>
      <c r="G2" s="5" t="s">
        <v>9</v>
      </c>
      <c r="H2" s="10" t="s">
        <v>30</v>
      </c>
      <c r="I2" s="10" t="s">
        <v>23</v>
      </c>
      <c r="J2" s="10" t="s">
        <v>24</v>
      </c>
      <c r="K2" s="10" t="s">
        <v>25</v>
      </c>
      <c r="L2" s="10" t="s">
        <v>19</v>
      </c>
      <c r="M2" s="10" t="s">
        <v>17</v>
      </c>
      <c r="N2" s="10" t="s">
        <v>20</v>
      </c>
      <c r="O2" s="10" t="s">
        <v>26</v>
      </c>
      <c r="P2" s="10" t="s">
        <v>27</v>
      </c>
      <c r="Q2" s="10" t="s">
        <v>28</v>
      </c>
      <c r="R2" s="10" t="s">
        <v>29</v>
      </c>
      <c r="S2" s="7" t="s">
        <v>10</v>
      </c>
      <c r="T2" s="7" t="s">
        <v>11</v>
      </c>
      <c r="U2" s="17" t="s">
        <v>15</v>
      </c>
      <c r="V2" s="17" t="s">
        <v>16</v>
      </c>
      <c r="W2" s="7" t="s">
        <v>12</v>
      </c>
      <c r="X2" s="17" t="s">
        <v>87</v>
      </c>
      <c r="Y2" s="8" t="s">
        <v>13</v>
      </c>
      <c r="Z2" s="11" t="s">
        <v>59</v>
      </c>
      <c r="AA2" s="11" t="s">
        <v>31</v>
      </c>
      <c r="AB2" s="11" t="s">
        <v>32</v>
      </c>
      <c r="AC2" s="11" t="s">
        <v>33</v>
      </c>
      <c r="AD2" s="11" t="s">
        <v>34</v>
      </c>
      <c r="AE2" s="11" t="s">
        <v>18</v>
      </c>
      <c r="AF2" s="11" t="s">
        <v>21</v>
      </c>
    </row>
    <row r="3" spans="1:32" s="1" customFormat="1" ht="16.2" x14ac:dyDescent="0.3">
      <c r="A3" s="12" t="s">
        <v>35</v>
      </c>
      <c r="B3" s="9" t="s">
        <v>60</v>
      </c>
      <c r="C3" s="3">
        <v>670204</v>
      </c>
      <c r="D3" s="9" t="s">
        <v>22</v>
      </c>
      <c r="E3" s="15">
        <v>10990</v>
      </c>
      <c r="F3" s="15">
        <v>12425</v>
      </c>
      <c r="G3" s="13">
        <v>2296910</v>
      </c>
      <c r="H3" s="13"/>
      <c r="I3" s="13">
        <v>922590</v>
      </c>
      <c r="J3" s="13">
        <v>0</v>
      </c>
      <c r="K3" s="13">
        <v>0</v>
      </c>
      <c r="L3" s="13">
        <v>959860</v>
      </c>
      <c r="M3" s="13">
        <v>59020</v>
      </c>
      <c r="N3" s="13">
        <v>0</v>
      </c>
      <c r="O3" s="13">
        <v>300000</v>
      </c>
      <c r="P3" s="13"/>
      <c r="Q3" s="13"/>
      <c r="R3" s="13"/>
      <c r="S3" s="14">
        <v>265650</v>
      </c>
      <c r="T3" s="18">
        <f>ROUNDDOWN(S3*10%,-1)</f>
        <v>26560</v>
      </c>
      <c r="U3" s="14">
        <v>174540</v>
      </c>
      <c r="V3" s="14">
        <v>224720</v>
      </c>
      <c r="W3" s="18">
        <f>ROUNDDOWN((SUM(G3:R3))*0.9%,-1)</f>
        <v>40840</v>
      </c>
      <c r="X3" s="18"/>
      <c r="Y3" s="8">
        <v>30</v>
      </c>
      <c r="Z3" s="19"/>
      <c r="AA3" s="19">
        <v>49.5</v>
      </c>
      <c r="AB3" s="22"/>
      <c r="AC3" s="19"/>
      <c r="AD3" s="19">
        <v>51.5</v>
      </c>
      <c r="AE3" s="19">
        <v>9.5</v>
      </c>
      <c r="AF3" s="19"/>
    </row>
    <row r="4" spans="1:32" s="1" customFormat="1" ht="16.2" x14ac:dyDescent="0.3">
      <c r="A4" s="12" t="s">
        <v>36</v>
      </c>
      <c r="B4" s="3" t="s">
        <v>61</v>
      </c>
      <c r="C4" s="3">
        <v>640404</v>
      </c>
      <c r="D4" s="9" t="s">
        <v>22</v>
      </c>
      <c r="E4" s="15">
        <v>10810</v>
      </c>
      <c r="F4" s="15">
        <v>11049</v>
      </c>
      <c r="G4" s="13">
        <v>2259290</v>
      </c>
      <c r="H4" s="13"/>
      <c r="I4" s="13">
        <v>936420</v>
      </c>
      <c r="J4" s="13">
        <v>0</v>
      </c>
      <c r="K4" s="13">
        <v>0</v>
      </c>
      <c r="L4" s="13">
        <v>662950</v>
      </c>
      <c r="M4" s="13">
        <v>44200</v>
      </c>
      <c r="N4" s="13">
        <v>0</v>
      </c>
      <c r="O4" s="13">
        <v>50000</v>
      </c>
      <c r="P4" s="5"/>
      <c r="Q4" s="13"/>
      <c r="R4" s="13"/>
      <c r="S4" s="14">
        <v>187950</v>
      </c>
      <c r="T4" s="18">
        <f t="shared" ref="T4:T29" si="0">ROUNDDOWN(S4*10%,-1)</f>
        <v>18790</v>
      </c>
      <c r="U4" s="14">
        <v>153970</v>
      </c>
      <c r="V4" s="14"/>
      <c r="W4" s="18">
        <f t="shared" ref="W4:W28" si="1">ROUNDDOWN((SUM(G4:R4))*0.9%,-1)</f>
        <v>35570</v>
      </c>
      <c r="X4" s="18"/>
      <c r="Y4" s="8">
        <v>30</v>
      </c>
      <c r="Z4" s="19"/>
      <c r="AA4" s="19">
        <v>56.5</v>
      </c>
      <c r="AB4" s="22"/>
      <c r="AC4" s="19"/>
      <c r="AD4" s="19">
        <v>40</v>
      </c>
      <c r="AE4" s="19">
        <v>8</v>
      </c>
      <c r="AF4" s="19"/>
    </row>
    <row r="5" spans="1:32" s="1" customFormat="1" ht="16.2" x14ac:dyDescent="0.3">
      <c r="A5" s="3" t="s">
        <v>37</v>
      </c>
      <c r="B5" s="3" t="s">
        <v>62</v>
      </c>
      <c r="C5" s="3">
        <v>660905</v>
      </c>
      <c r="D5" s="9" t="s">
        <v>22</v>
      </c>
      <c r="E5" s="15">
        <v>10510</v>
      </c>
      <c r="F5" s="15">
        <v>10749</v>
      </c>
      <c r="G5" s="13">
        <v>2196590</v>
      </c>
      <c r="H5" s="13"/>
      <c r="I5" s="13">
        <v>1128670</v>
      </c>
      <c r="J5" s="13">
        <v>0</v>
      </c>
      <c r="K5" s="13">
        <v>279480</v>
      </c>
      <c r="L5" s="13">
        <v>644950</v>
      </c>
      <c r="M5" s="13">
        <v>43000</v>
      </c>
      <c r="N5" s="13">
        <v>0</v>
      </c>
      <c r="O5" s="13">
        <v>50000</v>
      </c>
      <c r="P5" s="13"/>
      <c r="Q5" s="13"/>
      <c r="R5" s="13"/>
      <c r="S5" s="14">
        <v>241350</v>
      </c>
      <c r="T5" s="18">
        <f t="shared" si="0"/>
        <v>24130</v>
      </c>
      <c r="U5" s="14">
        <v>178420</v>
      </c>
      <c r="V5" s="14">
        <v>218730</v>
      </c>
      <c r="W5" s="18">
        <f t="shared" si="1"/>
        <v>39080</v>
      </c>
      <c r="X5" s="18"/>
      <c r="Y5" s="8">
        <v>30</v>
      </c>
      <c r="Z5" s="19"/>
      <c r="AA5" s="19">
        <v>70</v>
      </c>
      <c r="AB5" s="22"/>
      <c r="AC5" s="19">
        <v>52</v>
      </c>
      <c r="AD5" s="19">
        <v>40</v>
      </c>
      <c r="AE5" s="19">
        <v>8</v>
      </c>
      <c r="AF5" s="19"/>
    </row>
    <row r="6" spans="1:32" s="1" customFormat="1" ht="16.2" x14ac:dyDescent="0.3">
      <c r="A6" s="12" t="s">
        <v>38</v>
      </c>
      <c r="B6" s="3" t="s">
        <v>69</v>
      </c>
      <c r="C6" s="3">
        <v>711121</v>
      </c>
      <c r="D6" s="9" t="s">
        <v>22</v>
      </c>
      <c r="E6" s="15">
        <v>10510</v>
      </c>
      <c r="F6" s="15">
        <v>10510</v>
      </c>
      <c r="G6" s="13">
        <v>2196590</v>
      </c>
      <c r="H6" s="13"/>
      <c r="I6" s="13">
        <v>819780</v>
      </c>
      <c r="J6" s="13">
        <v>0</v>
      </c>
      <c r="K6" s="13">
        <v>388870</v>
      </c>
      <c r="L6" s="13">
        <v>756720</v>
      </c>
      <c r="M6" s="13">
        <v>42040</v>
      </c>
      <c r="N6" s="13">
        <v>0</v>
      </c>
      <c r="O6" s="13"/>
      <c r="P6" s="5"/>
      <c r="Q6" s="5"/>
      <c r="R6" s="13"/>
      <c r="S6" s="14">
        <v>222660</v>
      </c>
      <c r="T6" s="18">
        <f t="shared" si="0"/>
        <v>22260</v>
      </c>
      <c r="U6" s="14">
        <v>160910</v>
      </c>
      <c r="V6" s="14">
        <v>194980</v>
      </c>
      <c r="W6" s="18">
        <f t="shared" si="1"/>
        <v>37830</v>
      </c>
      <c r="X6" s="18"/>
      <c r="Y6" s="8">
        <v>30</v>
      </c>
      <c r="Z6" s="19"/>
      <c r="AA6" s="19">
        <v>52</v>
      </c>
      <c r="AB6" s="22"/>
      <c r="AC6" s="19">
        <v>74</v>
      </c>
      <c r="AD6" s="19">
        <v>48</v>
      </c>
      <c r="AE6" s="19">
        <v>8</v>
      </c>
      <c r="AF6" s="19"/>
    </row>
    <row r="7" spans="1:32" s="1" customFormat="1" ht="16.2" x14ac:dyDescent="0.3">
      <c r="A7" s="3" t="s">
        <v>39</v>
      </c>
      <c r="B7" s="3" t="s">
        <v>63</v>
      </c>
      <c r="C7" s="3">
        <v>680117</v>
      </c>
      <c r="D7" s="9" t="s">
        <v>22</v>
      </c>
      <c r="E7" s="15">
        <v>10510</v>
      </c>
      <c r="F7" s="15">
        <v>10749</v>
      </c>
      <c r="G7" s="13">
        <v>2196590</v>
      </c>
      <c r="H7" s="13"/>
      <c r="I7" s="13">
        <v>580460</v>
      </c>
      <c r="J7" s="13">
        <v>0</v>
      </c>
      <c r="K7" s="13">
        <v>397720</v>
      </c>
      <c r="L7" s="13">
        <v>322480</v>
      </c>
      <c r="M7" s="13">
        <v>21500</v>
      </c>
      <c r="N7" s="13">
        <v>0</v>
      </c>
      <c r="O7" s="13">
        <v>50000</v>
      </c>
      <c r="P7" s="13"/>
      <c r="Q7" s="13"/>
      <c r="R7" s="13"/>
      <c r="S7" s="14">
        <v>134550</v>
      </c>
      <c r="T7" s="18">
        <f t="shared" si="0"/>
        <v>13450</v>
      </c>
      <c r="U7" s="14">
        <v>131570</v>
      </c>
      <c r="V7" s="14">
        <v>158030</v>
      </c>
      <c r="W7" s="18">
        <f t="shared" si="1"/>
        <v>32110</v>
      </c>
      <c r="X7" s="18"/>
      <c r="Y7" s="8">
        <v>30</v>
      </c>
      <c r="Z7" s="19"/>
      <c r="AA7" s="19">
        <v>36</v>
      </c>
      <c r="AB7" s="22"/>
      <c r="AC7" s="19">
        <v>74</v>
      </c>
      <c r="AD7" s="19">
        <v>20</v>
      </c>
      <c r="AE7" s="19">
        <v>4</v>
      </c>
      <c r="AF7" s="19"/>
    </row>
    <row r="8" spans="1:32" s="1" customFormat="1" ht="16.2" x14ac:dyDescent="0.3">
      <c r="A8" s="12" t="s">
        <v>40</v>
      </c>
      <c r="B8" s="3" t="s">
        <v>68</v>
      </c>
      <c r="C8" s="3">
        <v>660921</v>
      </c>
      <c r="D8" s="9" t="s">
        <v>22</v>
      </c>
      <c r="E8" s="15">
        <v>10510</v>
      </c>
      <c r="F8" s="15">
        <v>10510</v>
      </c>
      <c r="G8" s="13">
        <v>2196590</v>
      </c>
      <c r="H8" s="13"/>
      <c r="I8" s="13">
        <v>819780</v>
      </c>
      <c r="J8" s="13">
        <v>0</v>
      </c>
      <c r="K8" s="13">
        <v>262750</v>
      </c>
      <c r="L8" s="13">
        <v>788250</v>
      </c>
      <c r="M8" s="13">
        <v>52550</v>
      </c>
      <c r="N8" s="13">
        <v>-52550</v>
      </c>
      <c r="O8" s="13"/>
      <c r="P8" s="5"/>
      <c r="Q8" s="13"/>
      <c r="R8" s="13"/>
      <c r="S8" s="14">
        <v>203970</v>
      </c>
      <c r="T8" s="18">
        <f t="shared" si="0"/>
        <v>20390</v>
      </c>
      <c r="U8" s="14">
        <v>175800</v>
      </c>
      <c r="V8" s="14">
        <v>197360</v>
      </c>
      <c r="W8" s="18">
        <f t="shared" si="1"/>
        <v>36600</v>
      </c>
      <c r="X8" s="18"/>
      <c r="Y8" s="8">
        <v>30</v>
      </c>
      <c r="Z8" s="19"/>
      <c r="AA8" s="19">
        <v>52</v>
      </c>
      <c r="AB8" s="22"/>
      <c r="AC8" s="21">
        <v>50</v>
      </c>
      <c r="AD8" s="21">
        <v>50</v>
      </c>
      <c r="AE8" s="19">
        <v>10</v>
      </c>
      <c r="AF8" s="19">
        <v>5</v>
      </c>
    </row>
    <row r="9" spans="1:32" s="1" customFormat="1" ht="16.2" x14ac:dyDescent="0.3">
      <c r="A9" s="12" t="s">
        <v>41</v>
      </c>
      <c r="B9" s="9" t="s">
        <v>65</v>
      </c>
      <c r="C9" s="3">
        <v>690723</v>
      </c>
      <c r="D9" s="9" t="s">
        <v>22</v>
      </c>
      <c r="E9" s="15">
        <v>10510</v>
      </c>
      <c r="F9" s="15">
        <v>10749</v>
      </c>
      <c r="G9" s="13">
        <v>2196590</v>
      </c>
      <c r="H9" s="13"/>
      <c r="I9" s="13">
        <v>1104480</v>
      </c>
      <c r="J9" s="13">
        <v>0</v>
      </c>
      <c r="K9" s="13">
        <v>257980</v>
      </c>
      <c r="L9" s="13">
        <v>483720</v>
      </c>
      <c r="M9" s="13">
        <v>32250</v>
      </c>
      <c r="N9" s="13">
        <v>-21020</v>
      </c>
      <c r="O9" s="13">
        <v>50000</v>
      </c>
      <c r="P9" s="13"/>
      <c r="Q9" s="13"/>
      <c r="R9" s="13"/>
      <c r="S9" s="14">
        <v>209310</v>
      </c>
      <c r="T9" s="18">
        <f t="shared" si="0"/>
        <v>20930</v>
      </c>
      <c r="U9" s="14">
        <v>174630</v>
      </c>
      <c r="V9" s="14">
        <v>206480</v>
      </c>
      <c r="W9" s="18">
        <f t="shared" si="1"/>
        <v>36930</v>
      </c>
      <c r="X9" s="18"/>
      <c r="Y9" s="8">
        <v>30</v>
      </c>
      <c r="Z9" s="19"/>
      <c r="AA9" s="19">
        <v>68.5</v>
      </c>
      <c r="AB9" s="22"/>
      <c r="AC9" s="19">
        <v>48</v>
      </c>
      <c r="AD9" s="19">
        <v>30</v>
      </c>
      <c r="AE9" s="19">
        <v>6</v>
      </c>
      <c r="AF9" s="19">
        <v>2</v>
      </c>
    </row>
    <row r="10" spans="1:32" ht="16.2" x14ac:dyDescent="0.3">
      <c r="A10" s="3" t="s">
        <v>42</v>
      </c>
      <c r="B10" s="3" t="s">
        <v>71</v>
      </c>
      <c r="C10" s="3">
        <v>840601</v>
      </c>
      <c r="D10" s="9" t="s">
        <v>22</v>
      </c>
      <c r="E10" s="15">
        <v>10510</v>
      </c>
      <c r="F10" s="15">
        <v>10630</v>
      </c>
      <c r="G10" s="13">
        <v>2196590</v>
      </c>
      <c r="H10" s="13"/>
      <c r="I10" s="13">
        <v>414560</v>
      </c>
      <c r="J10" s="13">
        <v>0</v>
      </c>
      <c r="K10" s="13">
        <v>255110</v>
      </c>
      <c r="L10" s="13">
        <v>0</v>
      </c>
      <c r="M10" s="13">
        <v>0</v>
      </c>
      <c r="N10" s="13">
        <v>0</v>
      </c>
      <c r="O10" s="13">
        <v>25000</v>
      </c>
      <c r="P10" s="13"/>
      <c r="Q10" s="13"/>
      <c r="R10" s="13"/>
      <c r="S10" s="14">
        <v>64510</v>
      </c>
      <c r="T10" s="18">
        <f t="shared" si="0"/>
        <v>6450</v>
      </c>
      <c r="U10" s="14">
        <v>128490</v>
      </c>
      <c r="V10" s="14">
        <v>161640</v>
      </c>
      <c r="W10" s="18">
        <f t="shared" si="1"/>
        <v>26020</v>
      </c>
      <c r="X10" s="18"/>
      <c r="Y10" s="23">
        <v>30</v>
      </c>
      <c r="Z10" s="19"/>
      <c r="AA10" s="19">
        <v>26</v>
      </c>
      <c r="AB10" s="22"/>
      <c r="AC10" s="19">
        <v>48</v>
      </c>
      <c r="AD10" s="19"/>
      <c r="AE10" s="19"/>
      <c r="AF10" s="19"/>
    </row>
    <row r="11" spans="1:32" ht="16.2" x14ac:dyDescent="0.3">
      <c r="A11" s="12" t="s">
        <v>43</v>
      </c>
      <c r="B11" s="3" t="s">
        <v>70</v>
      </c>
      <c r="C11" s="3">
        <v>761030</v>
      </c>
      <c r="D11" s="9" t="s">
        <v>22</v>
      </c>
      <c r="E11" s="20">
        <v>10510</v>
      </c>
      <c r="F11" s="20">
        <v>10630</v>
      </c>
      <c r="G11" s="13">
        <v>2196590</v>
      </c>
      <c r="H11" s="13"/>
      <c r="I11" s="13">
        <v>1116110</v>
      </c>
      <c r="J11" s="13">
        <v>0</v>
      </c>
      <c r="K11" s="13">
        <v>435810</v>
      </c>
      <c r="L11" s="13">
        <v>797220</v>
      </c>
      <c r="M11" s="13">
        <v>53150</v>
      </c>
      <c r="N11" s="13">
        <v>0</v>
      </c>
      <c r="O11" s="13">
        <v>25000</v>
      </c>
      <c r="P11" s="13"/>
      <c r="Q11" s="13"/>
      <c r="R11" s="13"/>
      <c r="S11" s="14">
        <v>282170</v>
      </c>
      <c r="T11" s="18">
        <f t="shared" si="0"/>
        <v>28210</v>
      </c>
      <c r="U11" s="14">
        <v>174910</v>
      </c>
      <c r="V11" s="14">
        <v>207330</v>
      </c>
      <c r="W11" s="18">
        <f t="shared" si="1"/>
        <v>41610</v>
      </c>
      <c r="X11" s="18"/>
      <c r="Y11" s="8">
        <v>30</v>
      </c>
      <c r="Z11" s="19"/>
      <c r="AA11" s="19">
        <v>70</v>
      </c>
      <c r="AB11" s="22"/>
      <c r="AC11" s="19">
        <v>82</v>
      </c>
      <c r="AD11" s="19">
        <v>50</v>
      </c>
      <c r="AE11" s="19">
        <v>10</v>
      </c>
      <c r="AF11" s="19"/>
    </row>
    <row r="12" spans="1:32" ht="16.2" x14ac:dyDescent="0.3">
      <c r="A12" s="12" t="s">
        <v>44</v>
      </c>
      <c r="B12" s="9" t="s">
        <v>72</v>
      </c>
      <c r="C12" s="3">
        <v>741127</v>
      </c>
      <c r="D12" s="9" t="s">
        <v>22</v>
      </c>
      <c r="E12" s="20">
        <v>10510</v>
      </c>
      <c r="F12" s="20">
        <v>10510</v>
      </c>
      <c r="G12" s="13">
        <v>2196590</v>
      </c>
      <c r="H12" s="13"/>
      <c r="I12" s="13">
        <v>829110</v>
      </c>
      <c r="J12" s="13">
        <v>0</v>
      </c>
      <c r="K12" s="13">
        <v>233850</v>
      </c>
      <c r="L12" s="13">
        <v>637780</v>
      </c>
      <c r="M12" s="13">
        <v>42520</v>
      </c>
      <c r="N12" s="13">
        <v>0</v>
      </c>
      <c r="O12" s="13">
        <v>25000</v>
      </c>
      <c r="P12" s="13"/>
      <c r="Q12" s="13"/>
      <c r="R12" s="13"/>
      <c r="S12" s="14">
        <v>190620</v>
      </c>
      <c r="T12" s="18">
        <f t="shared" si="0"/>
        <v>19060</v>
      </c>
      <c r="U12" s="14">
        <v>158740</v>
      </c>
      <c r="V12" s="14">
        <v>201210</v>
      </c>
      <c r="W12" s="18">
        <f t="shared" si="1"/>
        <v>35680</v>
      </c>
      <c r="X12" s="18"/>
      <c r="Y12" s="8">
        <v>30</v>
      </c>
      <c r="Z12" s="19"/>
      <c r="AA12" s="19">
        <v>52</v>
      </c>
      <c r="AB12" s="22"/>
      <c r="AC12" s="19">
        <v>44</v>
      </c>
      <c r="AD12" s="19">
        <v>40</v>
      </c>
      <c r="AE12" s="19">
        <v>8</v>
      </c>
      <c r="AF12" s="8"/>
    </row>
    <row r="13" spans="1:32" ht="16.2" x14ac:dyDescent="0.3">
      <c r="A13" s="12" t="s">
        <v>45</v>
      </c>
      <c r="B13" s="9" t="s">
        <v>66</v>
      </c>
      <c r="C13" s="3">
        <v>700826</v>
      </c>
      <c r="D13" s="9" t="s">
        <v>22</v>
      </c>
      <c r="E13" s="20">
        <v>10990</v>
      </c>
      <c r="F13" s="20">
        <v>11468</v>
      </c>
      <c r="G13" s="13">
        <v>2296910</v>
      </c>
      <c r="H13" s="13"/>
      <c r="I13" s="13">
        <v>688110</v>
      </c>
      <c r="J13" s="13">
        <v>0</v>
      </c>
      <c r="K13" s="13">
        <v>240830</v>
      </c>
      <c r="L13" s="13">
        <v>516080</v>
      </c>
      <c r="M13" s="13">
        <v>34410</v>
      </c>
      <c r="N13" s="13">
        <v>0</v>
      </c>
      <c r="O13" s="13"/>
      <c r="P13" s="13">
        <v>100000</v>
      </c>
      <c r="Q13" s="13"/>
      <c r="R13" s="13"/>
      <c r="S13" s="14">
        <v>177270</v>
      </c>
      <c r="T13" s="18">
        <f t="shared" si="0"/>
        <v>17720</v>
      </c>
      <c r="U13" s="14">
        <v>127480</v>
      </c>
      <c r="V13" s="14">
        <v>144590</v>
      </c>
      <c r="W13" s="18">
        <f t="shared" si="1"/>
        <v>34880</v>
      </c>
      <c r="X13" s="18"/>
      <c r="Y13" s="8">
        <v>30</v>
      </c>
      <c r="Z13" s="19"/>
      <c r="AA13" s="19">
        <v>40</v>
      </c>
      <c r="AB13" s="22"/>
      <c r="AC13" s="19">
        <v>42</v>
      </c>
      <c r="AD13" s="19">
        <v>30</v>
      </c>
      <c r="AE13" s="19">
        <v>6</v>
      </c>
      <c r="AF13" s="19"/>
    </row>
    <row r="14" spans="1:32" ht="16.2" x14ac:dyDescent="0.3">
      <c r="A14" s="12" t="s">
        <v>46</v>
      </c>
      <c r="B14" s="3" t="s">
        <v>67</v>
      </c>
      <c r="C14" s="3">
        <v>670216</v>
      </c>
      <c r="D14" s="9" t="s">
        <v>22</v>
      </c>
      <c r="E14" s="20">
        <v>10510</v>
      </c>
      <c r="F14" s="20">
        <v>10510</v>
      </c>
      <c r="G14" s="13">
        <v>2196590</v>
      </c>
      <c r="H14" s="13"/>
      <c r="I14" s="13">
        <v>1072020</v>
      </c>
      <c r="J14" s="13">
        <v>0</v>
      </c>
      <c r="K14" s="13">
        <v>367850</v>
      </c>
      <c r="L14" s="13">
        <v>788250</v>
      </c>
      <c r="M14" s="13">
        <v>52550</v>
      </c>
      <c r="N14" s="13">
        <v>0</v>
      </c>
      <c r="O14" s="13"/>
      <c r="P14" s="5"/>
      <c r="Q14" s="13"/>
      <c r="R14" s="13"/>
      <c r="S14" s="14">
        <v>257370</v>
      </c>
      <c r="T14" s="18">
        <f t="shared" si="0"/>
        <v>25730</v>
      </c>
      <c r="U14" s="14">
        <v>169660</v>
      </c>
      <c r="V14" s="14">
        <v>204770</v>
      </c>
      <c r="W14" s="18">
        <f t="shared" si="1"/>
        <v>40290</v>
      </c>
      <c r="X14" s="18"/>
      <c r="Y14" s="8">
        <v>30</v>
      </c>
      <c r="Z14" s="19"/>
      <c r="AA14" s="19">
        <v>68</v>
      </c>
      <c r="AB14" s="22"/>
      <c r="AC14" s="19">
        <v>70</v>
      </c>
      <c r="AD14" s="19">
        <v>50</v>
      </c>
      <c r="AE14" s="19">
        <v>10</v>
      </c>
      <c r="AF14" s="19"/>
    </row>
    <row r="15" spans="1:32" ht="16.2" x14ac:dyDescent="0.3">
      <c r="A15" s="12" t="s">
        <v>47</v>
      </c>
      <c r="B15" s="3" t="s">
        <v>64</v>
      </c>
      <c r="C15" s="3">
        <v>670401</v>
      </c>
      <c r="D15" s="9" t="s">
        <v>22</v>
      </c>
      <c r="E15" s="20">
        <v>10810</v>
      </c>
      <c r="F15" s="20">
        <v>11049</v>
      </c>
      <c r="G15" s="13">
        <v>2259290</v>
      </c>
      <c r="H15" s="13"/>
      <c r="I15" s="13">
        <v>894990</v>
      </c>
      <c r="J15" s="13">
        <v>0</v>
      </c>
      <c r="K15" s="13">
        <v>430920</v>
      </c>
      <c r="L15" s="13">
        <v>497220</v>
      </c>
      <c r="M15" s="13">
        <v>33150</v>
      </c>
      <c r="N15" s="13">
        <v>0</v>
      </c>
      <c r="O15" s="13">
        <v>50000</v>
      </c>
      <c r="P15" s="5"/>
      <c r="Q15" s="5"/>
      <c r="R15" s="13"/>
      <c r="S15" s="14">
        <v>217320</v>
      </c>
      <c r="T15" s="18">
        <f t="shared" si="0"/>
        <v>21730</v>
      </c>
      <c r="U15" s="14">
        <v>161250</v>
      </c>
      <c r="V15" s="14">
        <v>199920</v>
      </c>
      <c r="W15" s="18">
        <f t="shared" si="1"/>
        <v>37490</v>
      </c>
      <c r="X15" s="18"/>
      <c r="Y15" s="8">
        <v>30</v>
      </c>
      <c r="Z15" s="19"/>
      <c r="AA15" s="19">
        <v>54</v>
      </c>
      <c r="AB15" s="22"/>
      <c r="AC15" s="19">
        <v>78</v>
      </c>
      <c r="AD15" s="19">
        <v>30</v>
      </c>
      <c r="AE15" s="19">
        <v>6</v>
      </c>
      <c r="AF15" s="19"/>
    </row>
    <row r="16" spans="1:32" s="1" customFormat="1" ht="16.2" x14ac:dyDescent="0.3">
      <c r="A16" s="12" t="s">
        <v>48</v>
      </c>
      <c r="B16" s="3" t="s">
        <v>73</v>
      </c>
      <c r="C16" s="3">
        <v>711027</v>
      </c>
      <c r="D16" s="9" t="s">
        <v>22</v>
      </c>
      <c r="E16" s="20">
        <v>10510</v>
      </c>
      <c r="F16" s="20">
        <v>10510</v>
      </c>
      <c r="G16" s="13">
        <v>2196590</v>
      </c>
      <c r="H16" s="13"/>
      <c r="I16" s="13">
        <v>1048370</v>
      </c>
      <c r="J16" s="13">
        <v>0</v>
      </c>
      <c r="K16" s="13">
        <v>252240</v>
      </c>
      <c r="L16" s="13">
        <v>630600</v>
      </c>
      <c r="M16" s="13">
        <v>42040</v>
      </c>
      <c r="N16" s="13">
        <v>0</v>
      </c>
      <c r="O16" s="5"/>
      <c r="P16" s="5"/>
      <c r="Q16" s="13"/>
      <c r="R16" s="13"/>
      <c r="S16" s="14">
        <v>217320</v>
      </c>
      <c r="T16" s="18">
        <f t="shared" si="0"/>
        <v>21730</v>
      </c>
      <c r="U16" s="14">
        <v>165510</v>
      </c>
      <c r="V16" s="14">
        <v>197930</v>
      </c>
      <c r="W16" s="18">
        <f t="shared" si="1"/>
        <v>37520</v>
      </c>
      <c r="X16" s="18"/>
      <c r="Y16" s="8">
        <v>30</v>
      </c>
      <c r="Z16" s="19"/>
      <c r="AA16" s="19">
        <v>66.5</v>
      </c>
      <c r="AB16" s="22"/>
      <c r="AC16" s="19">
        <v>48</v>
      </c>
      <c r="AD16" s="19">
        <v>40</v>
      </c>
      <c r="AE16" s="19">
        <v>8</v>
      </c>
      <c r="AF16" s="19"/>
    </row>
    <row r="17" spans="1:32" s="1" customFormat="1" ht="16.2" x14ac:dyDescent="0.3">
      <c r="A17" s="3" t="s">
        <v>49</v>
      </c>
      <c r="B17" s="3" t="s">
        <v>74</v>
      </c>
      <c r="C17" s="3">
        <v>820527</v>
      </c>
      <c r="D17" s="9" t="s">
        <v>22</v>
      </c>
      <c r="E17" s="20">
        <v>10510</v>
      </c>
      <c r="F17" s="20">
        <v>10510</v>
      </c>
      <c r="G17" s="13">
        <v>2196590</v>
      </c>
      <c r="H17" s="13"/>
      <c r="I17" s="13">
        <v>662130</v>
      </c>
      <c r="J17" s="13">
        <v>0</v>
      </c>
      <c r="K17" s="13">
        <v>399380</v>
      </c>
      <c r="L17" s="13">
        <v>157650</v>
      </c>
      <c r="M17" s="13">
        <v>10510</v>
      </c>
      <c r="N17" s="13">
        <v>0</v>
      </c>
      <c r="O17" s="13"/>
      <c r="P17" s="13"/>
      <c r="Q17" s="13"/>
      <c r="R17" s="13"/>
      <c r="S17" s="14">
        <v>117440</v>
      </c>
      <c r="T17" s="18">
        <f t="shared" si="0"/>
        <v>11740</v>
      </c>
      <c r="U17" s="14">
        <v>140090</v>
      </c>
      <c r="V17" s="14">
        <v>170810</v>
      </c>
      <c r="W17" s="14">
        <f t="shared" si="1"/>
        <v>30830</v>
      </c>
      <c r="X17" s="14"/>
      <c r="Y17" s="8">
        <v>30</v>
      </c>
      <c r="Z17" s="19"/>
      <c r="AA17" s="19">
        <v>42</v>
      </c>
      <c r="AB17" s="22"/>
      <c r="AC17" s="19">
        <v>76</v>
      </c>
      <c r="AD17" s="19">
        <v>10</v>
      </c>
      <c r="AE17" s="19">
        <v>2</v>
      </c>
      <c r="AF17" s="19"/>
    </row>
    <row r="18" spans="1:32" s="1" customFormat="1" ht="16.2" x14ac:dyDescent="0.3">
      <c r="A18" s="3" t="s">
        <v>50</v>
      </c>
      <c r="B18" s="3" t="s">
        <v>75</v>
      </c>
      <c r="C18" s="3">
        <v>830515</v>
      </c>
      <c r="D18" s="9" t="s">
        <v>22</v>
      </c>
      <c r="E18" s="20">
        <v>10510</v>
      </c>
      <c r="F18" s="20">
        <v>10510</v>
      </c>
      <c r="G18" s="13">
        <v>2196590</v>
      </c>
      <c r="H18" s="13"/>
      <c r="I18" s="13">
        <v>945900</v>
      </c>
      <c r="J18" s="13">
        <v>0</v>
      </c>
      <c r="K18" s="13">
        <v>273260</v>
      </c>
      <c r="L18" s="13">
        <v>157650</v>
      </c>
      <c r="M18" s="13">
        <v>10510</v>
      </c>
      <c r="N18" s="13">
        <v>0</v>
      </c>
      <c r="O18" s="13"/>
      <c r="P18" s="13"/>
      <c r="Q18" s="13"/>
      <c r="R18" s="13"/>
      <c r="S18" s="14">
        <v>137000</v>
      </c>
      <c r="T18" s="18">
        <f t="shared" si="0"/>
        <v>13700</v>
      </c>
      <c r="U18" s="14">
        <v>144410</v>
      </c>
      <c r="V18" s="14">
        <v>185530</v>
      </c>
      <c r="W18" s="14">
        <f t="shared" si="1"/>
        <v>32250</v>
      </c>
      <c r="X18" s="14"/>
      <c r="Y18" s="8">
        <v>30</v>
      </c>
      <c r="Z18" s="19"/>
      <c r="AA18" s="19">
        <v>60</v>
      </c>
      <c r="AB18" s="22"/>
      <c r="AC18" s="19">
        <v>52</v>
      </c>
      <c r="AD18" s="19">
        <v>10</v>
      </c>
      <c r="AE18" s="19">
        <v>2</v>
      </c>
      <c r="AF18" s="19"/>
    </row>
    <row r="19" spans="1:32" s="1" customFormat="1" ht="16.2" x14ac:dyDescent="0.3">
      <c r="A19" s="3" t="s">
        <v>51</v>
      </c>
      <c r="B19" s="3" t="s">
        <v>76</v>
      </c>
      <c r="C19" s="3">
        <v>890416</v>
      </c>
      <c r="D19" s="9" t="s">
        <v>22</v>
      </c>
      <c r="E19" s="20">
        <v>10510</v>
      </c>
      <c r="F19" s="20">
        <v>10510</v>
      </c>
      <c r="G19" s="13">
        <v>2196590</v>
      </c>
      <c r="H19" s="13"/>
      <c r="I19" s="13">
        <v>630600</v>
      </c>
      <c r="J19" s="13">
        <v>0</v>
      </c>
      <c r="K19" s="13">
        <v>367850</v>
      </c>
      <c r="L19" s="13">
        <v>472950</v>
      </c>
      <c r="M19" s="13">
        <v>31530</v>
      </c>
      <c r="N19" s="13">
        <v>-21020</v>
      </c>
      <c r="O19" s="13"/>
      <c r="P19" s="13"/>
      <c r="Q19" s="13"/>
      <c r="R19" s="13"/>
      <c r="S19" s="14">
        <v>146780</v>
      </c>
      <c r="T19" s="18">
        <f t="shared" si="0"/>
        <v>14670</v>
      </c>
      <c r="U19" s="14">
        <v>146230</v>
      </c>
      <c r="V19" s="14">
        <v>181110</v>
      </c>
      <c r="W19" s="14">
        <f t="shared" si="1"/>
        <v>33100</v>
      </c>
      <c r="X19" s="14"/>
      <c r="Y19" s="8">
        <v>30</v>
      </c>
      <c r="Z19" s="19"/>
      <c r="AA19" s="19">
        <v>40</v>
      </c>
      <c r="AB19" s="22"/>
      <c r="AC19" s="19">
        <v>70</v>
      </c>
      <c r="AD19" s="19">
        <v>30</v>
      </c>
      <c r="AE19" s="19">
        <v>6</v>
      </c>
      <c r="AF19" s="19">
        <v>2</v>
      </c>
    </row>
    <row r="20" spans="1:32" s="1" customFormat="1" ht="16.2" x14ac:dyDescent="0.3">
      <c r="A20" s="3" t="s">
        <v>52</v>
      </c>
      <c r="B20" s="9" t="s">
        <v>82</v>
      </c>
      <c r="C20" s="3">
        <v>760228</v>
      </c>
      <c r="D20" s="9" t="s">
        <v>22</v>
      </c>
      <c r="E20" s="20">
        <v>10510</v>
      </c>
      <c r="F20" s="20">
        <v>10630</v>
      </c>
      <c r="G20" s="13">
        <v>2196590</v>
      </c>
      <c r="H20" s="13"/>
      <c r="I20" s="13">
        <v>765330</v>
      </c>
      <c r="J20" s="13">
        <v>0</v>
      </c>
      <c r="K20" s="13">
        <v>350770</v>
      </c>
      <c r="L20" s="13">
        <v>478330</v>
      </c>
      <c r="M20" s="13">
        <v>31890</v>
      </c>
      <c r="N20" s="13">
        <v>0</v>
      </c>
      <c r="O20" s="13">
        <v>25000</v>
      </c>
      <c r="P20" s="13"/>
      <c r="Q20" s="13"/>
      <c r="R20" s="13"/>
      <c r="S20" s="14">
        <v>174600</v>
      </c>
      <c r="T20" s="18">
        <f t="shared" si="0"/>
        <v>17460</v>
      </c>
      <c r="U20" s="14">
        <v>141010</v>
      </c>
      <c r="V20" s="14">
        <v>175650</v>
      </c>
      <c r="W20" s="14">
        <f t="shared" si="1"/>
        <v>34630</v>
      </c>
      <c r="X20" s="14"/>
      <c r="Y20" s="8">
        <v>30</v>
      </c>
      <c r="Z20" s="19"/>
      <c r="AA20" s="19">
        <v>48</v>
      </c>
      <c r="AB20" s="22"/>
      <c r="AC20" s="19">
        <v>66</v>
      </c>
      <c r="AD20" s="19">
        <v>30</v>
      </c>
      <c r="AE20" s="19">
        <v>6</v>
      </c>
      <c r="AF20" s="19"/>
    </row>
    <row r="21" spans="1:32" s="1" customFormat="1" ht="16.2" x14ac:dyDescent="0.3">
      <c r="A21" s="3" t="s">
        <v>53</v>
      </c>
      <c r="B21" s="3" t="s">
        <v>77</v>
      </c>
      <c r="C21" s="3">
        <v>770417</v>
      </c>
      <c r="D21" s="9" t="s">
        <v>22</v>
      </c>
      <c r="E21" s="20">
        <v>10510</v>
      </c>
      <c r="F21" s="20">
        <v>10510</v>
      </c>
      <c r="G21" s="13">
        <v>2196590</v>
      </c>
      <c r="H21" s="13"/>
      <c r="I21" s="13">
        <v>252240</v>
      </c>
      <c r="J21" s="13">
        <v>0</v>
      </c>
      <c r="K21" s="13">
        <v>231220</v>
      </c>
      <c r="L21" s="13">
        <v>630600</v>
      </c>
      <c r="M21" s="13">
        <v>42040</v>
      </c>
      <c r="N21" s="13">
        <v>-21020</v>
      </c>
      <c r="O21" s="13"/>
      <c r="P21" s="13"/>
      <c r="Q21" s="13"/>
      <c r="R21" s="13"/>
      <c r="S21" s="14">
        <v>105210</v>
      </c>
      <c r="T21" s="18">
        <f t="shared" si="0"/>
        <v>10520</v>
      </c>
      <c r="U21" s="14">
        <v>138630</v>
      </c>
      <c r="V21" s="14">
        <v>168480</v>
      </c>
      <c r="W21" s="14">
        <f t="shared" si="1"/>
        <v>29980</v>
      </c>
      <c r="X21" s="14"/>
      <c r="Y21" s="8">
        <v>30</v>
      </c>
      <c r="Z21" s="19"/>
      <c r="AA21" s="19">
        <v>16</v>
      </c>
      <c r="AB21" s="22"/>
      <c r="AC21" s="19">
        <v>44</v>
      </c>
      <c r="AD21" s="19">
        <v>40</v>
      </c>
      <c r="AE21" s="19">
        <v>8</v>
      </c>
      <c r="AF21" s="19">
        <v>2</v>
      </c>
    </row>
    <row r="22" spans="1:32" s="1" customFormat="1" ht="16.2" x14ac:dyDescent="0.3">
      <c r="A22" s="3" t="s">
        <v>54</v>
      </c>
      <c r="B22" s="3" t="s">
        <v>78</v>
      </c>
      <c r="C22" s="3">
        <v>850210</v>
      </c>
      <c r="D22" s="9" t="s">
        <v>22</v>
      </c>
      <c r="E22" s="20">
        <v>10510</v>
      </c>
      <c r="F22" s="20">
        <v>10510</v>
      </c>
      <c r="G22" s="13">
        <v>2196590</v>
      </c>
      <c r="H22" s="13"/>
      <c r="I22" s="13">
        <v>504480</v>
      </c>
      <c r="J22" s="13">
        <v>0</v>
      </c>
      <c r="K22" s="13">
        <v>409890</v>
      </c>
      <c r="L22" s="13">
        <v>31530</v>
      </c>
      <c r="M22" s="13">
        <v>0</v>
      </c>
      <c r="N22" s="13">
        <v>0</v>
      </c>
      <c r="O22" s="13"/>
      <c r="P22" s="13"/>
      <c r="Q22" s="13"/>
      <c r="R22" s="13"/>
      <c r="S22" s="14">
        <v>86330</v>
      </c>
      <c r="T22" s="18">
        <f t="shared" si="0"/>
        <v>8630</v>
      </c>
      <c r="U22" s="14">
        <v>132600</v>
      </c>
      <c r="V22" s="14">
        <v>154510</v>
      </c>
      <c r="W22" s="14">
        <f t="shared" si="1"/>
        <v>28280</v>
      </c>
      <c r="X22" s="14"/>
      <c r="Y22" s="8">
        <v>30</v>
      </c>
      <c r="Z22" s="19"/>
      <c r="AA22" s="19">
        <v>32</v>
      </c>
      <c r="AB22" s="22"/>
      <c r="AC22" s="19">
        <v>78</v>
      </c>
      <c r="AD22" s="19">
        <v>2</v>
      </c>
      <c r="AE22" s="19"/>
      <c r="AF22" s="19"/>
    </row>
    <row r="23" spans="1:32" s="1" customFormat="1" ht="16.2" x14ac:dyDescent="0.3">
      <c r="A23" s="3" t="s">
        <v>55</v>
      </c>
      <c r="B23" s="3" t="s">
        <v>79</v>
      </c>
      <c r="C23" s="3">
        <v>791227</v>
      </c>
      <c r="D23" s="9" t="s">
        <v>22</v>
      </c>
      <c r="E23" s="20">
        <v>10510</v>
      </c>
      <c r="F23" s="20">
        <v>10510</v>
      </c>
      <c r="G23" s="13">
        <v>2196590</v>
      </c>
      <c r="H23" s="13">
        <v>-84080</v>
      </c>
      <c r="I23" s="13">
        <v>220710</v>
      </c>
      <c r="J23" s="13">
        <v>0</v>
      </c>
      <c r="K23" s="13">
        <v>231220</v>
      </c>
      <c r="L23" s="13">
        <v>472950</v>
      </c>
      <c r="M23" s="13">
        <v>31530</v>
      </c>
      <c r="N23" s="13">
        <v>0</v>
      </c>
      <c r="O23" s="13"/>
      <c r="P23" s="13"/>
      <c r="Q23" s="13"/>
      <c r="R23" s="13"/>
      <c r="S23" s="14">
        <v>79480</v>
      </c>
      <c r="T23" s="18">
        <f t="shared" si="0"/>
        <v>7940</v>
      </c>
      <c r="U23" s="14">
        <v>128600</v>
      </c>
      <c r="V23" s="14">
        <v>147290</v>
      </c>
      <c r="W23" s="14">
        <f t="shared" si="1"/>
        <v>27620</v>
      </c>
      <c r="X23" s="14"/>
      <c r="Y23" s="8">
        <v>30</v>
      </c>
      <c r="Z23" s="19">
        <v>-1</v>
      </c>
      <c r="AA23" s="19">
        <v>14</v>
      </c>
      <c r="AB23" s="22"/>
      <c r="AC23" s="19">
        <v>44</v>
      </c>
      <c r="AD23" s="19">
        <v>30</v>
      </c>
      <c r="AE23" s="19">
        <v>6</v>
      </c>
      <c r="AF23" s="19"/>
    </row>
    <row r="24" spans="1:32" s="1" customFormat="1" ht="16.2" x14ac:dyDescent="0.3">
      <c r="A24" s="3" t="s">
        <v>56</v>
      </c>
      <c r="B24" s="3" t="s">
        <v>80</v>
      </c>
      <c r="C24" s="3">
        <v>750101</v>
      </c>
      <c r="D24" s="9" t="s">
        <v>22</v>
      </c>
      <c r="E24" s="20">
        <v>10510</v>
      </c>
      <c r="F24" s="20">
        <v>10510</v>
      </c>
      <c r="G24" s="13">
        <v>2196590</v>
      </c>
      <c r="H24" s="13">
        <v>-84080</v>
      </c>
      <c r="I24" s="13">
        <v>945900</v>
      </c>
      <c r="J24" s="13">
        <v>0</v>
      </c>
      <c r="K24" s="13">
        <v>262750</v>
      </c>
      <c r="L24" s="13">
        <v>472950</v>
      </c>
      <c r="M24" s="13">
        <v>31530</v>
      </c>
      <c r="N24" s="13">
        <v>0</v>
      </c>
      <c r="O24" s="13"/>
      <c r="P24" s="13"/>
      <c r="Q24" s="13"/>
      <c r="R24" s="13"/>
      <c r="S24" s="14">
        <v>171930</v>
      </c>
      <c r="T24" s="18">
        <f t="shared" si="0"/>
        <v>17190</v>
      </c>
      <c r="U24" s="14">
        <v>161910</v>
      </c>
      <c r="V24" s="14">
        <v>184110</v>
      </c>
      <c r="W24" s="14">
        <f t="shared" si="1"/>
        <v>34430</v>
      </c>
      <c r="X24" s="14"/>
      <c r="Y24" s="8">
        <v>30</v>
      </c>
      <c r="Z24" s="19">
        <v>-1</v>
      </c>
      <c r="AA24" s="19">
        <v>60</v>
      </c>
      <c r="AB24" s="22"/>
      <c r="AC24" s="19">
        <v>50</v>
      </c>
      <c r="AD24" s="19">
        <v>30</v>
      </c>
      <c r="AE24" s="19">
        <v>6</v>
      </c>
      <c r="AF24" s="19"/>
    </row>
    <row r="25" spans="1:32" s="1" customFormat="1" ht="16.2" x14ac:dyDescent="0.3">
      <c r="A25" s="3" t="s">
        <v>57</v>
      </c>
      <c r="B25" s="3" t="s">
        <v>81</v>
      </c>
      <c r="C25" s="3">
        <v>860702</v>
      </c>
      <c r="D25" s="9" t="s">
        <v>22</v>
      </c>
      <c r="E25" s="20">
        <v>10510</v>
      </c>
      <c r="F25" s="20">
        <v>10510</v>
      </c>
      <c r="G25" s="13">
        <v>2196590</v>
      </c>
      <c r="H25" s="13"/>
      <c r="I25" s="13">
        <v>756720</v>
      </c>
      <c r="J25" s="13">
        <v>0</v>
      </c>
      <c r="K25" s="13">
        <v>231220</v>
      </c>
      <c r="L25" s="13">
        <v>536010</v>
      </c>
      <c r="M25" s="13">
        <v>10510</v>
      </c>
      <c r="N25" s="13">
        <v>-42040</v>
      </c>
      <c r="O25" s="13"/>
      <c r="P25" s="13"/>
      <c r="Q25" s="13"/>
      <c r="R25" s="13"/>
      <c r="S25" s="14">
        <v>149220</v>
      </c>
      <c r="T25" s="18">
        <f t="shared" si="0"/>
        <v>14920</v>
      </c>
      <c r="U25" s="14">
        <v>145500</v>
      </c>
      <c r="V25" s="14">
        <v>157840</v>
      </c>
      <c r="W25" s="14">
        <f t="shared" si="1"/>
        <v>33200</v>
      </c>
      <c r="X25" s="14"/>
      <c r="Y25" s="8">
        <v>30</v>
      </c>
      <c r="Z25" s="19"/>
      <c r="AA25" s="19">
        <v>48</v>
      </c>
      <c r="AB25" s="22"/>
      <c r="AC25" s="19">
        <v>44</v>
      </c>
      <c r="AD25" s="19">
        <v>34</v>
      </c>
      <c r="AE25" s="19">
        <v>2</v>
      </c>
      <c r="AF25" s="19">
        <v>4</v>
      </c>
    </row>
    <row r="26" spans="1:32" ht="16.2" x14ac:dyDescent="0.3">
      <c r="A26" s="12" t="s">
        <v>85</v>
      </c>
      <c r="B26" s="9" t="s">
        <v>86</v>
      </c>
      <c r="C26" s="3">
        <v>820406</v>
      </c>
      <c r="D26" s="9" t="s">
        <v>22</v>
      </c>
      <c r="E26" s="20">
        <v>10510</v>
      </c>
      <c r="F26" s="20">
        <v>10510</v>
      </c>
      <c r="G26" s="13">
        <v>512537.66666666669</v>
      </c>
      <c r="H26" s="13"/>
      <c r="I26" s="13">
        <v>63060</v>
      </c>
      <c r="J26" s="13">
        <v>0</v>
      </c>
      <c r="K26" s="13">
        <v>63060</v>
      </c>
      <c r="L26" s="13">
        <v>0</v>
      </c>
      <c r="M26" s="13">
        <v>0</v>
      </c>
      <c r="N26" s="13">
        <v>0</v>
      </c>
      <c r="O26" s="13"/>
      <c r="P26" s="13"/>
      <c r="Q26" s="13"/>
      <c r="R26" s="13"/>
      <c r="S26" s="14"/>
      <c r="T26" s="18">
        <f t="shared" si="0"/>
        <v>0</v>
      </c>
      <c r="U26" s="14">
        <v>-39520</v>
      </c>
      <c r="V26" s="14"/>
      <c r="W26" s="14">
        <f t="shared" si="1"/>
        <v>5740</v>
      </c>
      <c r="X26" s="14"/>
      <c r="Y26" s="8">
        <v>7</v>
      </c>
      <c r="Z26" s="19"/>
      <c r="AA26" s="19">
        <v>4</v>
      </c>
      <c r="AB26" s="22"/>
      <c r="AC26" s="19">
        <v>12</v>
      </c>
      <c r="AD26" s="19"/>
      <c r="AE26" s="19"/>
      <c r="AF26" s="19"/>
    </row>
    <row r="27" spans="1:32" s="1" customFormat="1" ht="16.2" x14ac:dyDescent="0.3">
      <c r="A27" s="12" t="s">
        <v>88</v>
      </c>
      <c r="B27" s="3"/>
      <c r="C27" s="3"/>
      <c r="D27" s="9" t="s">
        <v>22</v>
      </c>
      <c r="E27" s="20">
        <v>10990</v>
      </c>
      <c r="F27" s="20">
        <v>11468</v>
      </c>
      <c r="G27" s="13">
        <v>2220346.3333333335</v>
      </c>
      <c r="H27" s="13">
        <v>-87920</v>
      </c>
      <c r="I27" s="13">
        <v>464470</v>
      </c>
      <c r="J27" s="13">
        <v>0</v>
      </c>
      <c r="K27" s="13">
        <v>286710</v>
      </c>
      <c r="L27" s="13">
        <v>688110</v>
      </c>
      <c r="M27" s="13">
        <v>45870</v>
      </c>
      <c r="N27" s="13">
        <v>0</v>
      </c>
      <c r="O27" s="13"/>
      <c r="P27" s="13">
        <v>100000</v>
      </c>
      <c r="Q27" s="13"/>
      <c r="R27" s="13"/>
      <c r="S27" s="14">
        <v>151670</v>
      </c>
      <c r="T27" s="18">
        <f t="shared" si="0"/>
        <v>15160</v>
      </c>
      <c r="U27" s="14">
        <v>122020</v>
      </c>
      <c r="V27" s="14">
        <v>142500</v>
      </c>
      <c r="W27" s="14">
        <f t="shared" si="1"/>
        <v>33450</v>
      </c>
      <c r="X27" s="14"/>
      <c r="Y27" s="8">
        <v>30</v>
      </c>
      <c r="Z27" s="19">
        <v>-1</v>
      </c>
      <c r="AA27" s="19">
        <v>27</v>
      </c>
      <c r="AB27" s="22"/>
      <c r="AC27" s="19">
        <v>50</v>
      </c>
      <c r="AD27" s="19">
        <v>40</v>
      </c>
      <c r="AE27" s="19">
        <v>8</v>
      </c>
      <c r="AF27" s="19"/>
    </row>
    <row r="28" spans="1:32" ht="16.2" x14ac:dyDescent="0.3">
      <c r="A28" s="12" t="s">
        <v>89</v>
      </c>
      <c r="B28" s="3"/>
      <c r="C28" s="3"/>
      <c r="D28" s="9" t="s">
        <v>22</v>
      </c>
      <c r="E28" s="20">
        <v>10510</v>
      </c>
      <c r="F28" s="20">
        <v>10510</v>
      </c>
      <c r="G28" s="13">
        <v>732196.66666666674</v>
      </c>
      <c r="H28" s="13"/>
      <c r="I28" s="13">
        <v>0</v>
      </c>
      <c r="J28" s="13">
        <v>0</v>
      </c>
      <c r="K28" s="13">
        <v>94590</v>
      </c>
      <c r="L28" s="13">
        <v>0</v>
      </c>
      <c r="M28" s="13">
        <v>0</v>
      </c>
      <c r="N28" s="13">
        <v>0</v>
      </c>
      <c r="O28" s="13"/>
      <c r="P28" s="13"/>
      <c r="Q28" s="13"/>
      <c r="R28" s="13"/>
      <c r="S28" s="14"/>
      <c r="T28" s="18">
        <f t="shared" si="0"/>
        <v>0</v>
      </c>
      <c r="U28" s="14"/>
      <c r="V28" s="14"/>
      <c r="W28" s="14">
        <f t="shared" si="1"/>
        <v>7440</v>
      </c>
      <c r="X28" s="14"/>
      <c r="Y28" s="8">
        <v>10</v>
      </c>
      <c r="Z28" s="19"/>
      <c r="AA28" s="19">
        <v>0</v>
      </c>
      <c r="AB28" s="22"/>
      <c r="AC28" s="19">
        <v>18</v>
      </c>
      <c r="AD28" s="19">
        <v>0</v>
      </c>
      <c r="AE28" s="19">
        <v>0</v>
      </c>
      <c r="AF28" s="19"/>
    </row>
    <row r="29" spans="1:32" s="1" customFormat="1" ht="16.2" x14ac:dyDescent="0.3">
      <c r="A29" s="3" t="s">
        <v>83</v>
      </c>
      <c r="B29" s="9" t="s">
        <v>84</v>
      </c>
      <c r="C29" s="3">
        <v>690606</v>
      </c>
      <c r="D29" s="9" t="s">
        <v>22</v>
      </c>
      <c r="E29" s="20">
        <v>10990</v>
      </c>
      <c r="F29" s="20">
        <v>11468</v>
      </c>
      <c r="G29" s="13">
        <v>2296910</v>
      </c>
      <c r="H29" s="13"/>
      <c r="I29" s="13">
        <v>550490</v>
      </c>
      <c r="J29" s="13">
        <v>0</v>
      </c>
      <c r="K29" s="13">
        <v>424330</v>
      </c>
      <c r="L29" s="13">
        <v>516080</v>
      </c>
      <c r="M29" s="13">
        <v>34410</v>
      </c>
      <c r="N29" s="13">
        <v>0</v>
      </c>
      <c r="O29" s="13"/>
      <c r="P29" s="13">
        <v>100000</v>
      </c>
      <c r="Q29" s="13"/>
      <c r="R29" s="13"/>
      <c r="S29" s="14">
        <v>185280</v>
      </c>
      <c r="T29" s="18">
        <f t="shared" si="0"/>
        <v>18520</v>
      </c>
      <c r="U29" s="14">
        <v>122020</v>
      </c>
      <c r="V29" s="14">
        <v>142500</v>
      </c>
      <c r="W29" s="14">
        <f t="shared" ref="W29" si="2">ROUNDDOWN((SUM(G29:R29))*0.9%,-1)</f>
        <v>35290</v>
      </c>
      <c r="X29" s="14"/>
      <c r="Y29" s="8">
        <v>30</v>
      </c>
      <c r="Z29" s="19"/>
      <c r="AA29" s="19">
        <v>32</v>
      </c>
      <c r="AB29" s="22"/>
      <c r="AC29" s="19">
        <v>74</v>
      </c>
      <c r="AD29" s="19">
        <v>30</v>
      </c>
      <c r="AE29" s="19">
        <v>6</v>
      </c>
      <c r="AF29" s="19"/>
    </row>
    <row r="30" spans="1:32" x14ac:dyDescent="0.3">
      <c r="A30" s="3" t="s">
        <v>1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5" t="s">
        <v>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7"/>
      <c r="T30" s="7" t="s">
        <v>1</v>
      </c>
      <c r="U30" s="7" t="s">
        <v>1</v>
      </c>
      <c r="V30" s="7" t="s">
        <v>1</v>
      </c>
      <c r="W30" s="7" t="s">
        <v>1</v>
      </c>
      <c r="X30" s="7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3" t="s">
        <v>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5" t="s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7" t="s">
        <v>1</v>
      </c>
      <c r="T31" s="7" t="s">
        <v>1</v>
      </c>
      <c r="U31" s="7" t="s">
        <v>1</v>
      </c>
      <c r="V31" s="7" t="s">
        <v>1</v>
      </c>
      <c r="W31" s="7" t="s">
        <v>1</v>
      </c>
      <c r="X31" s="7"/>
      <c r="Y31" s="8"/>
      <c r="Z31" s="8"/>
      <c r="AA31" s="8"/>
      <c r="AB31" s="8" t="s">
        <v>1</v>
      </c>
      <c r="AC31" s="8"/>
      <c r="AD31" s="8"/>
      <c r="AE31" s="8"/>
      <c r="AF31" s="8"/>
    </row>
    <row r="32" spans="1:32" x14ac:dyDescent="0.3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5" t="s">
        <v>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7" t="s">
        <v>1</v>
      </c>
      <c r="T32" s="7" t="s">
        <v>1</v>
      </c>
      <c r="U32" s="7" t="s">
        <v>1</v>
      </c>
      <c r="V32" s="7" t="s">
        <v>1</v>
      </c>
      <c r="W32" s="7" t="s">
        <v>1</v>
      </c>
      <c r="X32" s="7"/>
      <c r="Y32" s="8"/>
      <c r="Z32" s="8"/>
      <c r="AA32" s="8"/>
      <c r="AB32" s="8" t="s">
        <v>1</v>
      </c>
      <c r="AC32" s="8"/>
      <c r="AD32" s="8"/>
      <c r="AE32" s="8"/>
      <c r="AF32" s="8"/>
    </row>
    <row r="33" spans="1:32" x14ac:dyDescent="0.3">
      <c r="A33" s="3" t="s">
        <v>1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5" t="s">
        <v>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7" t="s">
        <v>1</v>
      </c>
      <c r="T33" s="7" t="s">
        <v>1</v>
      </c>
      <c r="U33" s="7" t="s">
        <v>1</v>
      </c>
      <c r="V33" s="7" t="s">
        <v>1</v>
      </c>
      <c r="W33" s="7" t="s">
        <v>1</v>
      </c>
      <c r="X33" s="7"/>
      <c r="Y33" s="8"/>
      <c r="Z33" s="8"/>
      <c r="AA33" s="8"/>
      <c r="AB33" s="8" t="s">
        <v>1</v>
      </c>
      <c r="AC33" s="8"/>
      <c r="AD33" s="8"/>
      <c r="AE33" s="8"/>
      <c r="AF33" s="8"/>
    </row>
    <row r="34" spans="1:32" x14ac:dyDescent="0.3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5" t="s">
        <v>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7" t="s">
        <v>1</v>
      </c>
      <c r="T34" s="7" t="s">
        <v>1</v>
      </c>
      <c r="U34" s="7" t="s">
        <v>1</v>
      </c>
      <c r="V34" s="7" t="s">
        <v>1</v>
      </c>
      <c r="W34" s="7" t="s">
        <v>1</v>
      </c>
      <c r="X34" s="7"/>
      <c r="Y34" s="8"/>
      <c r="Z34" s="8"/>
      <c r="AA34" s="8"/>
      <c r="AB34" s="8" t="s">
        <v>1</v>
      </c>
      <c r="AC34" s="8"/>
      <c r="AD34" s="8"/>
      <c r="AE34" s="8"/>
      <c r="AF34" s="8"/>
    </row>
    <row r="35" spans="1:32" x14ac:dyDescent="0.3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5" t="s">
        <v>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7" t="s">
        <v>1</v>
      </c>
      <c r="T35" s="7" t="s">
        <v>1</v>
      </c>
      <c r="U35" s="7" t="s">
        <v>1</v>
      </c>
      <c r="V35" s="7" t="s">
        <v>1</v>
      </c>
      <c r="W35" s="7" t="s">
        <v>1</v>
      </c>
      <c r="X35" s="7"/>
      <c r="Y35" s="8"/>
      <c r="Z35" s="8"/>
      <c r="AA35" s="8"/>
      <c r="AB35" s="8" t="s">
        <v>1</v>
      </c>
      <c r="AC35" s="8"/>
      <c r="AD35" s="8"/>
      <c r="AE35" s="8"/>
      <c r="AF35" s="8"/>
    </row>
    <row r="36" spans="1:32" x14ac:dyDescent="0.3">
      <c r="A36" s="3" t="s">
        <v>1</v>
      </c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5" t="s">
        <v>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7" t="s">
        <v>1</v>
      </c>
      <c r="T36" s="7" t="s">
        <v>1</v>
      </c>
      <c r="U36" s="7" t="s">
        <v>1</v>
      </c>
      <c r="V36" s="7" t="s">
        <v>1</v>
      </c>
      <c r="W36" s="7" t="s">
        <v>1</v>
      </c>
      <c r="X36" s="7"/>
      <c r="Y36" s="8"/>
      <c r="Z36" s="8"/>
      <c r="AA36" s="8"/>
      <c r="AB36" s="8" t="s">
        <v>1</v>
      </c>
      <c r="AC36" s="8"/>
      <c r="AD36" s="8"/>
      <c r="AE36" s="8"/>
      <c r="AF36" s="8"/>
    </row>
    <row r="37" spans="1:32" x14ac:dyDescent="0.3">
      <c r="A37" s="1" t="s">
        <v>1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AB37" s="1" t="s">
        <v>1</v>
      </c>
    </row>
    <row r="38" spans="1:32" x14ac:dyDescent="0.3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AB38" s="1" t="s">
        <v>1</v>
      </c>
    </row>
    <row r="39" spans="1:32" x14ac:dyDescent="0.3">
      <c r="A39" s="1" t="s">
        <v>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AB39" s="1" t="s">
        <v>1</v>
      </c>
    </row>
  </sheetData>
  <phoneticPr fontId="10" type="noConversion"/>
  <pageMargins left="0.7" right="0.7" top="0.75" bottom="0.75" header="0.3" footer="0.3"/>
  <pageSetup paperSize="9" orientation="portrait" horizontalDpi="1200" verticalDpi="1200" r:id="rId1"/>
  <ignoredErrors>
    <ignoredError sqref="F1:G1 S2:T2 A1:C2 A30:C39 G2 S1:V1 F30:G39 S31:V39 T30:V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2022-08-03T07:43:43Z</dcterms:created>
  <dcterms:modified xsi:type="dcterms:W3CDTF">2026-05-22T04:02:58Z</dcterms:modified>
</cp:coreProperties>
</file>